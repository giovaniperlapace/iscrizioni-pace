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8797861614b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glio1" sheetId="1" r:id="R0b1058ae8e114b42"/>
    <x:sheet xmlns:r="http://schemas.openxmlformats.org/officeDocument/2006/relationships" name="Foglio2" sheetId="2" r:id="Rc257cfc6d35c47d1"/>
    <x:sheet xmlns:r="http://schemas.openxmlformats.org/officeDocument/2006/relationships" name="Referenti normalizzati" sheetId="3" r:id="R400c7e75c0e0492a"/>
    <x:sheet xmlns:r="http://schemas.openxmlformats.org/officeDocument/2006/relationships" name="Catalogo gruppi app" sheetId="4" r:id="R4d0247a82d614e04"/>
  </x:sheets>
</x:workbook>
</file>

<file path=xl/sharedStrings.xml><?xml version="1.0" encoding="utf-8"?>
<x:sst xmlns:x="http://schemas.openxmlformats.org/spreadsheetml/2006/main">
  <x:si>
    <x:t xml:space="preserve">ZONA</x:t>
  </x:si>
  <x:si>
    <x:t xml:space="preserve">Raggruppamento</x:t>
  </x:si>
  <x:si>
    <x:t xml:space="preserve">Gruppo/Comunità</x:t>
  </x:si>
  <x:si>
    <x:t xml:space="preserve">Nome referente</x:t>
  </x:si>
  <x:si>
    <x:t xml:space="preserve">Cognome referente</x:t>
  </x:si>
  <x:si>
    <x:t xml:space="preserve">Email referente</x:t>
  </x:si>
  <x:si>
    <x:t xml:space="preserve">Nome referente 2</x:t>
  </x:si>
  <x:si>
    <x:t xml:space="preserve">Cognome referente 2</x:t>
  </x:si>
  <x:si>
    <x:t xml:space="preserve">email referente 2</x:t>
  </x:si>
  <x:si>
    <x:t xml:space="preserve">Nome referente 3</x:t>
  </x:si>
  <x:si>
    <x:t xml:space="preserve">Cognome referente 3</x:t>
  </x:si>
  <x:si>
    <x:t xml:space="preserve">email referente 3</x:t>
  </x:si>
  <x:si>
    <x:t xml:space="preserve">Nome referente 4</x:t>
  </x:si>
  <x:si>
    <x:t xml:space="preserve">Cognome referente 4</x:t>
  </x:si>
  <x:si>
    <x:t xml:space="preserve">Email referente 4</x:t>
  </x:si>
  <x:si>
    <x:t xml:space="preserve">Nome referente 5</x:t>
  </x:si>
  <x:si>
    <x:t xml:space="preserve">Cognome referente 5</x:t>
  </x:si>
  <x:si>
    <x:t xml:space="preserve">Email referente 5</x:t>
  </x:si>
  <x:si>
    <x:t xml:space="preserve">ROMA</x:t>
  </x:si>
  <x:si>
    <x:t xml:space="preserve">Anziani Roma</x:t>
  </x:si>
  <x:si>
    <x:t xml:space="preserve">Anziani Castelli </x:t>
  </x:si>
  <x:si>
    <x:t xml:space="preserve">Fulvio</x:t>
  </x:si>
  <x:si>
    <x:t xml:space="preserve">Ignesti</x:t>
  </x:si>
  <x:si>
    <x:t xml:space="preserve">fulvioign@gmail.com</x:t>
  </x:si>
  <x:si>
    <x:t xml:space="preserve">Anziani Fiumicino </x:t>
  </x:si>
  <x:si>
    <x:t xml:space="preserve">Francesca</x:t>
  </x:si>
  <x:si>
    <x:t xml:space="preserve">Scambia </x:t>
  </x:si>
  <x:si>
    <x:t xml:space="preserve">francesca.scambia@gmail.com </x:t>
  </x:si>
  <x:si>
    <x:t xml:space="preserve">Anziani Flaminio </x:t>
  </x:si>
  <x:si>
    <x:t xml:space="preserve">Patrizia</x:t>
  </x:si>
  <x:si>
    <x:t xml:space="preserve">Pugliese</x:t>
  </x:si>
  <x:si>
    <x:t xml:space="preserve">patrizia.pugliese@yahoo.it</x:t>
  </x:si>
  <x:si>
    <x:t xml:space="preserve">Anziani Garbatella </x:t>
  </x:si>
  <x:si>
    <x:t xml:space="preserve">Ilaria</x:t>
  </x:si>
  <x:si>
    <x:t xml:space="preserve">Cacciani</x:t>
  </x:si>
  <x:si>
    <x:t xml:space="preserve">i_cacciani@libero.it </x:t>
  </x:si>
  <x:si>
    <x:t xml:space="preserve">Anziani Laurentino</x:t>
  </x:si>
  <x:si>
    <x:t xml:space="preserve">Graziella</x:t>
  </x:si>
  <x:si>
    <x:t xml:space="preserve">Tintisona</x:t>
  </x:si>
  <x:si>
    <x:t xml:space="preserve">gratinti@hotmail.com </x:t>
  </x:si>
  <x:si>
    <x:t xml:space="preserve">Anziani Monti/Esquilino </x:t>
  </x:si>
  <x:si>
    <x:t xml:space="preserve">Chiara</x:t>
  </x:si>
  <x:si>
    <x:t xml:space="preserve">Inzerilli</x:t>
  </x:si>
  <x:si>
    <x:t xml:space="preserve">chiarainzerilli@gmail.com </x:t>
  </x:si>
  <x:si>
    <x:t xml:space="preserve">Anziani Nomentano </x:t>
  </x:si>
  <x:si>
    <x:t xml:space="preserve">Luigia</x:t>
  </x:si>
  <x:si>
    <x:t xml:space="preserve">Fioramonti</x:t>
  </x:si>
  <x:si>
    <x:t xml:space="preserve">luigiafioramonti@gmail.com </x:t>
  </x:si>
  <x:si>
    <x:t xml:space="preserve">Anziani Ostia</x:t>
  </x:si>
  <x:si>
    <x:t xml:space="preserve">Andrea</x:t>
  </x:si>
  <x:si>
    <x:t xml:space="preserve">Panfili</x:t>
  </x:si>
  <x:si>
    <x:t xml:space="preserve">andrea.panfili@libero.it</x:t>
  </x:si>
  <x:si>
    <x:t xml:space="preserve">Anziani Primavalle </x:t>
  </x:si>
  <x:si>
    <x:t xml:space="preserve">Paola</x:t>
  </x:si>
  <x:si>
    <x:t xml:space="preserve">Carcaterra</x:t>
  </x:si>
  <x:si>
    <x:t xml:space="preserve">paolacarcaterra@gmail.com </x:t>
  </x:si>
  <x:si>
    <x:t xml:space="preserve">Anziani San Giovanni </x:t>
  </x:si>
  <x:si>
    <x:t xml:space="preserve">Maria</x:t>
  </x:si>
  <x:si>
    <x:t xml:space="preserve">Mangeruga</x:t>
  </x:si>
  <x:si>
    <x:t xml:space="preserve">mariamangeruga@gmail.com </x:t>
  </x:si>
  <x:si>
    <x:t xml:space="preserve">Anziani Serpentara Prima Porta e San Basilio </x:t>
  </x:si>
  <x:si>
    <x:t xml:space="preserve">Giovanna</x:t>
  </x:si>
  <x:si>
    <x:t xml:space="preserve">Sisti</x:t>
  </x:si>
  <x:si>
    <x:t xml:space="preserve">giosisti@gmail.com </x:t>
  </x:si>
  <x:si>
    <x:t xml:space="preserve">Anziani Tiburtino</x:t>
  </x:si>
  <x:si>
    <x:t xml:space="preserve">Giuseppe</x:t>
  </x:si>
  <x:si>
    <x:t xml:space="preserve">Liotta</x:t>
  </x:si>
  <x:si>
    <x:t xml:space="preserve">giuseppeliotta@hotmail.com </x:t>
  </x:si>
  <x:si>
    <x:t xml:space="preserve">Anziani Tor Bella Monaca </x:t>
  </x:si>
  <x:si>
    <x:t xml:space="preserve">Alessandra</x:t>
  </x:si>
  <x:si>
    <x:t xml:space="preserve">Genovese</x:t>
  </x:si>
  <x:si>
    <x:t xml:space="preserve">alessandra.gen1965@gmail.com </x:t>
  </x:si>
  <x:si>
    <x:t xml:space="preserve">Anziani Torrenova </x:t>
  </x:si>
  <x:si>
    <x:t xml:space="preserve">Roberto</x:t>
  </x:si>
  <x:si>
    <x:t xml:space="preserve">Pagliaroli</x:t>
  </x:si>
  <x:si>
    <x:t xml:space="preserve">robpag2012@gmail.com</x:t>
  </x:si>
  <x:si>
    <x:t xml:space="preserve">Anziani Trastevere</x:t>
  </x:si>
  <x:si>
    <x:t xml:space="preserve">Olga</x:t>
  </x:si>
  <x:si>
    <x:t xml:space="preserve">Madaro</x:t>
  </x:si>
  <x:si>
    <x:t xml:space="preserve">olga.madaro@gmail.com</x:t>
  </x:si>
  <x:si>
    <x:t xml:space="preserve">Augusto</x:t>
  </x:si>
  <x:si>
    <x:t xml:space="preserve">D'Angelo</x:t>
  </x:si>
  <x:si>
    <x:t xml:space="preserve">augusto.dangelo@gmail.com</x:t>
  </x:si>
  <x:si>
    <x:t xml:space="preserve">Stefania</x:t>
  </x:si>
  <x:si>
    <x:t xml:space="preserve">Murari</x:t>
  </x:si>
  <x:si>
    <x:t xml:space="preserve">muraristefania@gmail.com </x:t>
  </x:si>
  <x:si>
    <x:t xml:space="preserve">Anziani Trullo </x:t>
  </x:si>
  <x:si>
    <x:t xml:space="preserve">Elisabetta</x:t>
  </x:si>
  <x:si>
    <x:t xml:space="preserve">Meineri</x:t>
  </x:si>
  <x:si>
    <x:t xml:space="preserve">elisabettameineri@libero.it </x:t>
  </x:si>
  <x:si>
    <x:t xml:space="preserve">Anziani Tuscolano</x:t>
  </x:si>
  <x:si>
    <x:t xml:space="preserve">Borzi</x:t>
  </x:si>
  <x:si>
    <x:t xml:space="preserve">robor53@gmail.com </x:t>
  </x:si>
  <x:si>
    <x:t xml:space="preserve">Comunità di Roma</x:t>
  </x:si>
  <x:si>
    <x:t xml:space="preserve">Castelli</x:t>
  </x:si>
  <x:si>
    <x:t xml:space="preserve">Sergio</x:t>
  </x:si>
  <x:si>
    <x:t xml:space="preserve">Mesolella</x:t>
  </x:si>
  <x:si>
    <x:t xml:space="preserve">smesolella@gmail.com</x:t>
  </x:si>
  <x:si>
    <x:t xml:space="preserve">Centocelle Tor Pignattara</x:t>
  </x:si>
  <x:si>
    <x:t xml:space="preserve">robor53@gmail.com</x:t>
  </x:si>
  <x:si>
    <x:t xml:space="preserve">Civitavecchia</x:t>
  </x:si>
  <x:si>
    <x:t xml:space="preserve">Massimo</x:t>
  </x:si>
  <x:si>
    <x:t xml:space="preserve">Magnano</x:t>
  </x:si>
  <x:si>
    <x:t xml:space="preserve">massimo.magnano@gmail.com</x:t>
  </x:si>
  <x:si>
    <x:t xml:space="preserve">Comunità della mensa</x:t>
  </x:si>
  <x:si>
    <x:t xml:space="preserve">Angela</x:t>
  </x:si>
  <x:si>
    <x:t xml:space="preserve">Chieppa</x:t>
  </x:si>
  <x:si>
    <x:t xml:space="preserve">angela.chieppa@gmail.com</x:t>
  </x:si>
  <x:si>
    <x:t xml:space="preserve">Esquilino</x:t>
  </x:si>
  <x:si>
    <x:t xml:space="preserve">chiarainzerilli@gmail.com</x:t>
  </x:si>
  <x:si>
    <x:t xml:space="preserve">Fiumicino</x:t>
  </x:si>
  <x:si>
    <x:t xml:space="preserve">Scambia</x:t>
  </x:si>
  <x:si>
    <x:t xml:space="preserve">francesca.scambia@gmail.com</x:t>
  </x:si>
  <x:si>
    <x:t xml:space="preserve">Flaminio</x:t>
  </x:si>
  <x:si>
    <x:t xml:space="preserve">Francesco</x:t>
  </x:si>
  <x:si>
    <x:t xml:space="preserve">De Palma</x:t>
  </x:si>
  <x:si>
    <x:t xml:space="preserve">francescodepal@yahoo.it</x:t>
  </x:si>
  <x:si>
    <x:t xml:space="preserve">Garbatella</x:t>
  </x:si>
  <x:si>
    <x:t xml:space="preserve">Paolo</x:t>
  </x:si>
  <x:si>
    <x:t xml:space="preserve">Severi</x:t>
  </x:si>
  <x:si>
    <x:t xml:space="preserve">severipaolo@gmail.com</x:t>
  </x:si>
  <x:si>
    <x:t xml:space="preserve">Guidonia Tivoli</x:t>
  </x:si>
  <x:si>
    <x:t xml:space="preserve">Mancinelli</x:t>
  </x:si>
  <x:si>
    <x:t xml:space="preserve">mchiaraman@gmail.com</x:t>
  </x:si>
  <x:si>
    <x:t xml:space="preserve">Laurentino</x:t>
  </x:si>
  <x:si>
    <x:t xml:space="preserve">Barbara</x:t>
  </x:si>
  <x:si>
    <x:t xml:space="preserve">Cannelli</x:t>
  </x:si>
  <x:si>
    <x:t xml:space="preserve">barbara.connelli@gmail.com</x:t>
  </x:si>
  <x:si>
    <x:t xml:space="preserve">Monterotondo</x:t>
  </x:si>
  <x:si>
    <x:t xml:space="preserve">Giovannelli</x:t>
  </x:si>
  <x:si>
    <x:t xml:space="preserve">giovannellia@hotmail.com</x:t>
  </x:si>
  <x:si>
    <x:t xml:space="preserve">Nomentano</x:t>
  </x:si>
  <x:si>
    <x:t xml:space="preserve">Rita</x:t>
  </x:si>
  <x:si>
    <x:t xml:space="preserve">Carta</x:t>
  </x:si>
  <x:si>
    <x:t xml:space="preserve">ritacarta6@gmail.com</x:t>
  </x:si>
  <x:si>
    <x:t xml:space="preserve">Ostia</x:t>
  </x:si>
  <x:si>
    <x:t xml:space="preserve">giuseppe.mangeruga@gmail.com</x:t>
  </x:si>
  <x:si>
    <x:t xml:space="preserve">Prima Porta</x:t>
  </x:si>
  <x:si>
    <x:t xml:space="preserve">Luana</x:t>
  </x:si>
  <x:si>
    <x:t xml:space="preserve">Virgili</x:t>
  </x:si>
  <x:si>
    <x:t xml:space="preserve">luanavirgili@gmail.com</x:t>
  </x:si>
  <x:si>
    <x:t xml:space="preserve">Primavalle</x:t>
  </x:si>
  <x:si>
    <x:t xml:space="preserve">Di Consoli</x:t>
  </x:si>
  <x:si>
    <x:t xml:space="preserve">paoladiconsoli@gmail.com</x:t>
  </x:si>
  <x:si>
    <x:t xml:space="preserve">San Giovanni Appio</x:t>
  </x:si>
  <x:si>
    <x:t xml:space="preserve">Gianna</x:t>
  </x:si>
  <x:si>
    <x:t xml:space="preserve">Nicoletti</x:t>
  </x:si>
  <x:si>
    <x:t xml:space="preserve">nicoletti.gianna@libero.it</x:t>
  </x:si>
  <x:si>
    <x:t xml:space="preserve">Scuola del Vangelo Trastevere</x:t>
  </x:si>
  <x:si>
    <x:t xml:space="preserve">Tiburtina</x:t>
  </x:si>
  <x:si>
    <x:t xml:space="preserve">Tor Bella Monaca</x:t>
  </x:si>
  <x:si>
    <x:t xml:space="preserve">Giada</x:t>
  </x:si>
  <x:si>
    <x:t xml:space="preserve">De Cesaris</x:t>
  </x:si>
  <x:si>
    <x:t xml:space="preserve">giada412@gmail.com</x:t>
  </x:si>
  <x:si>
    <x:t xml:space="preserve">Torrenova</x:t>
  </x:si>
  <x:si>
    <x:t xml:space="preserve">Muià</x:t>
  </x:si>
  <x:si>
    <x:t xml:space="preserve">maria.muia@libero.it</x:t>
  </x:si>
  <x:si>
    <x:t xml:space="preserve">Torrino</x:t>
  </x:si>
  <x:si>
    <x:t xml:space="preserve">Trullo Magliana</x:t>
  </x:si>
  <x:si>
    <x:t xml:space="preserve">Cristina</x:t>
  </x:si>
  <x:si>
    <x:t xml:space="preserve">Huamani</x:t>
  </x:si>
  <x:si>
    <x:t xml:space="preserve">cristinahuamani@libero.it</x:t>
  </x:si>
  <x:si>
    <x:t xml:space="preserve">Tufello Serpentara</x:t>
  </x:si>
  <x:si>
    <x:t xml:space="preserve">Gabriella</x:t>
  </x:si>
  <x:si>
    <x:t xml:space="preserve">Flumian</x:t>
  </x:si>
  <x:si>
    <x:t xml:space="preserve">gapeduto@gmail.com</x:t>
  </x:si>
  <x:si>
    <x:t xml:space="preserve">Tuscolano</x:t>
  </x:si>
  <x:si>
    <x:t xml:space="preserve">Tina</x:t>
  </x:si>
  <x:si>
    <x:t xml:space="preserve">Bianchi</x:t>
  </x:si>
  <x:si>
    <x:t xml:space="preserve">nunziabianchi@hotmail.com</x:t>
  </x:si>
  <x:si>
    <x:t xml:space="preserve">Amici San Bartolomeo</x:t>
  </x:si>
  <x:si>
    <x:t xml:space="preserve">Giuliana</x:t>
  </x:si>
  <x:si>
    <x:t xml:space="preserve">Scipioni</x:t>
  </x:si>
  <x:si>
    <x:t xml:space="preserve">giulianascipioni@gmail.com</x:t>
  </x:si>
  <x:si>
    <x:t xml:space="preserve">Amici Sant'Egidio</x:t>
  </x:si>
  <x:si>
    <x:t xml:space="preserve">Rivabene</x:t>
  </x:si>
  <x:si>
    <x:t xml:space="preserve">sergiorivabene@gmail.com</x:t>
  </x:si>
  <x:si>
    <x:t xml:space="preserve">Assemblea di Trastevere</x:t>
  </x:si>
  <x:si>
    <x:t xml:space="preserve">Matteo</x:t>
  </x:si>
  <x:si>
    <x:t xml:space="preserve">Bottazzi</x:t>
  </x:si>
  <x:si>
    <x:t xml:space="preserve">bottazzi77@hotmail.com</x:t>
  </x:si>
  <x:si>
    <x:t xml:space="preserve">Starocci</x:t>
  </x:si>
  <x:si>
    <x:t xml:space="preserve">paolastarocci@libero.it</x:t>
  </x:si>
  <x:si>
    <x:t xml:space="preserve">Genti di Pace</x:t>
  </x:si>
  <x:si>
    <x:t xml:space="preserve">GDP</x:t>
  </x:si>
  <x:si>
    <x:t xml:space="preserve">Cecilia</x:t>
  </x:si>
  <x:si>
    <x:t xml:space="preserve">Pani</x:t>
  </x:si>
  <x:si>
    <x:t xml:space="preserve">cecilia.pani@gmail.com</x:t>
  </x:si>
  <x:si>
    <x:t xml:space="preserve">Anna</x:t>
  </x:si>
  <x:si>
    <x:t xml:space="preserve">Marchei</x:t>
  </x:si>
  <x:si>
    <x:t xml:space="preserve">annamarchei@gmail.com</x:t>
  </x:si>
  <x:si>
    <x:t xml:space="preserve">GDP Scuola</x:t>
  </x:si>
  <x:si>
    <x:t xml:space="preserve">Daniela</x:t>
  </x:si>
  <x:si>
    <x:t xml:space="preserve">Moretti</x:t>
  </x:si>
  <x:si>
    <x:t xml:space="preserve">morettidaniela@hotmail.com</x:t>
  </x:si>
  <x:si>
    <x:t xml:space="preserve">Gli Amici Roma</x:t>
  </x:si>
  <x:si>
    <x:t xml:space="preserve">Giorgio</x:t>
  </x:si>
  <x:si>
    <x:t xml:space="preserve">Lanino</x:t>
  </x:si>
  <x:si>
    <x:t xml:space="preserve">lanino.giorgia@gmail.com</x:t>
  </x:si>
  <x:si>
    <x:t xml:space="preserve">Lieceali</x:t>
  </x:si>
  <x:si>
    <x:t xml:space="preserve">Gabriele</x:t>
  </x:si>
  <x:si>
    <x:t xml:space="preserve">Palmieri</x:t>
  </x:si>
  <x:si>
    <x:t xml:space="preserve">gab.palmieri@gmail.com</x:t>
  </x:si>
  <x:si>
    <x:t xml:space="preserve">Pentecoste</x:t>
  </x:si>
  <x:si>
    <x:t xml:space="preserve">Cutini</x:t>
  </x:si>
  <x:si>
    <x:t xml:space="preserve">ritacutini@gmail.com</x:t>
  </x:si>
  <x:si>
    <x:t xml:space="preserve">Annamaria</x:t>
  </x:si>
  <x:si>
    <x:t xml:space="preserve">Graziani</x:t>
  </x:si>
  <x:si>
    <x:t xml:space="preserve">grazianiannamaria@libero.it</x:t>
  </x:si>
  <x:si>
    <x:t xml:space="preserve">Silvestrini</x:t>
  </x:si>
  <x:si>
    <x:t xml:space="preserve">ansilves@yahoo.it</x:t>
  </x:si>
  <x:si>
    <x:t xml:space="preserve">Carmen</x:t>
  </x:si>
  <x:si>
    <x:t xml:space="preserve">carmengenovese01@gmail.com</x:t>
  </x:si>
  <x:si>
    <x:t xml:space="preserve">Laura</x:t>
  </x:si>
  <x:si>
    <x:t xml:space="preserve">Zacchi</x:t>
  </x:si>
  <x:si>
    <x:t xml:space="preserve">zacchi65@gmail.com</x:t>
  </x:si>
  <x:si>
    <x:t xml:space="preserve">Resurrezione ‘68</x:t>
  </x:si>
  <x:si>
    <x:t xml:space="preserve">Tallei</x:t>
  </x:si>
  <x:si>
    <x:t xml:space="preserve">s.talleito@gmail.com</x:t>
  </x:si>
  <x:si>
    <x:t xml:space="preserve">Sandro</x:t>
  </x:si>
  <x:si>
    <x:t xml:space="preserve">sandro.mancinelli@gmail.com</x:t>
  </x:si>
  <x:si>
    <x:t xml:space="preserve">Resurrezione</x:t>
  </x:si>
  <x:si>
    <x:t xml:space="preserve">Fabrizio</x:t>
  </x:si>
  <x:si>
    <x:t xml:space="preserve">Nurra</x:t>
  </x:si>
  <x:si>
    <x:t xml:space="preserve">19nurra54@gnail.com</x:t>
  </x:si>
  <x:si>
    <x:t xml:space="preserve">Luciano</x:t>
  </x:si>
  <x:si>
    <x:t xml:space="preserve">Marchese</x:t>
  </x:si>
  <x:si>
    <x:t xml:space="preserve">marcheselu@gmail.com</x:t>
  </x:si>
  <x:si>
    <x:t xml:space="preserve">Sant’Andrea</x:t>
  </x:si>
  <x:si>
    <x:t xml:space="preserve">Vittorio</x:t>
  </x:si>
  <x:si>
    <x:t xml:space="preserve">Scelzo</x:t>
  </x:si>
  <x:si>
    <x:t xml:space="preserve">v.scelzo@gmail.com</x:t>
  </x:si>
  <x:si>
    <x:t xml:space="preserve">Antonella</x:t>
  </x:si>
  <x:si>
    <x:t xml:space="preserve">Coassin</x:t>
  </x:si>
  <x:si>
    <x:t xml:space="preserve">antocoa83@gmail.com</x:t>
  </x:si>
  <x:si>
    <x:t xml:space="preserve">Sant’Egidio</x:t>
  </x:si>
  <x:si>
    <x:t xml:space="preserve">Susanna</x:t>
  </x:si>
  <x:si>
    <x:t xml:space="preserve">Placidi</x:t>
  </x:si>
  <x:si>
    <x:t xml:space="preserve">placidisusanna@gmail.com</x:t>
  </x:si>
  <x:si>
    <x:t xml:space="preserve">Franco</x:t>
  </x:si>
  <x:si>
    <x:t xml:space="preserve">Di Domenicantonio</x:t>
  </x:si>
  <x:si>
    <x:t xml:space="preserve">francodido@gmail.com</x:t>
  </x:si>
  <x:si>
    <x:t xml:space="preserve">Seminario</x:t>
  </x:si>
  <x:si>
    <x:t xml:space="preserve">Moise</x:t>
  </x:si>
  <x:si>
    <x:t xml:space="preserve">Beavogui</x:t>
  </x:si>
  <x:si>
    <x:t xml:space="preserve">moisebeavogui@gmail.com</x:t>
  </x:si>
  <x:si>
    <x:t xml:space="preserve">Universitari</x:t>
  </x:si>
  <x:si>
    <x:t xml:space="preserve">Massimiliano</x:t>
  </x:si>
  <x:si>
    <x:t xml:space="preserve">Signifredi</x:t>
  </x:si>
  <x:si>
    <x:t xml:space="preserve">msignifredi@gmail.com</x:t>
  </x:si>
  <x:si>
    <x:t xml:space="preserve">ITALIA - eccetto Roma</x:t>
  </x:si>
  <x:si>
    <x:t xml:space="preserve">BARI/laterza/ lecce / brindisi/foggia</x:t>
  </x:si>
  <x:si>
    <x:t xml:space="preserve">Corrado</x:t>
  </x:si>
  <x:si>
    <x:t xml:space="preserve">Petrachi</x:t>
  </x:si>
  <x:si>
    <x:t xml:space="preserve">petrachi.c@gmail.com</x:t>
  </x:si>
  <x:si>
    <x:t xml:space="preserve">BOLOGNA</x:t>
  </x:si>
  <x:si>
    <x:t xml:space="preserve">Simona</x:t>
  </x:si>
  <x:si>
    <x:t xml:space="preserve">Cocina</x:t>
  </x:si>
  <x:si>
    <x:t xml:space="preserve">simona.cocina@gmail.com</x:t>
  </x:si>
  <x:si>
    <x:t xml:space="preserve">CAGLIARI</x:t>
  </x:si>
  <x:si>
    <x:t xml:space="preserve">Gianmatteo</x:t>
  </x:si>
  <x:si>
    <x:t xml:space="preserve">Sabatino</x:t>
  </x:si>
  <x:si>
    <x:t xml:space="preserve">gianmatteo.sabatino6@gmail.com</x:t>
  </x:si>
  <x:si>
    <x:t xml:space="preserve">CATANIA</x:t>
  </x:si>
  <x:si>
    <x:t xml:space="preserve">Walter</x:t>
  </x:si>
  <x:si>
    <x:t xml:space="preserve">Cerreti</x:t>
  </x:si>
  <x:si>
    <x:t xml:space="preserve">walter.cerreti@santegidio.sicilia.it</x:t>
  </x:si>
  <x:si>
    <x:t xml:space="preserve">FIRENZE</x:t>
  </x:si>
  <x:si>
    <x:t xml:space="preserve">Serena</x:t>
  </x:si>
  <x:si>
    <x:t xml:space="preserve">Fabbrini</x:t>
  </x:si>
  <x:si>
    <x:t xml:space="preserve">serenafabbrini@hotmail.com</x:t>
  </x:si>
  <x:si>
    <x:t xml:space="preserve">FROSINONE</x:t>
  </x:si>
  <x:si>
    <x:t xml:space="preserve">Loredana</x:t>
  </x:si>
  <x:si>
    <x:t xml:space="preserve">Piazzai</x:t>
  </x:si>
  <x:si>
    <x:t xml:space="preserve">piazzailoredana@gmail.com</x:t>
  </x:si>
  <x:si>
    <x:t xml:space="preserve">GENOVA</x:t>
  </x:si>
  <x:si>
    <x:t xml:space="preserve">Bonanni</x:t>
  </x:si>
  <x:si>
    <x:t xml:space="preserve">Fabriziobonanni15@gmail.com</x:t>
  </x:si>
  <x:si>
    <x:t xml:space="preserve">LIVORNO E PISA</x:t>
  </x:si>
  <x:si>
    <x:t xml:space="preserve">Silvia</x:t>
  </x:si>
  <x:si>
    <x:t xml:space="preserve">Pellino</x:t>
  </x:si>
  <x:si>
    <x:t xml:space="preserve">pellins74@gmail.com</x:t>
  </x:si>
  <x:si>
    <x:t xml:space="preserve">LUCCA</x:t>
  </x:si>
  <x:si>
    <x:t xml:space="preserve">Eleonora</x:t>
  </x:si>
  <x:si>
    <x:t xml:space="preserve">Colonnata</x:t>
  </x:si>
  <x:si>
    <x:t xml:space="preserve">eleonoracolonnata@gmail.com</x:t>
  </x:si>
  <x:si>
    <x:t xml:space="preserve">MESSINA</x:t>
  </x:si>
  <x:si>
    <x:t xml:space="preserve">Nucita</x:t>
  </x:si>
  <x:si>
    <x:t xml:space="preserve">a.nucita@gmail.com</x:t>
  </x:si>
  <x:si>
    <x:t xml:space="preserve">MILANO</x:t>
  </x:si>
  <x:si>
    <x:t xml:space="preserve">Silvia Maria</x:t>
  </x:si>
  <x:si>
    <x:t xml:space="preserve">Bordoni</x:t>
  </x:si>
  <x:si>
    <x:t xml:space="preserve">silviamaria.bordoni@gmail.com</x:t>
  </x:si>
  <x:si>
    <x:t xml:space="preserve">NAPOLI ISERNIA</x:t>
  </x:si>
  <x:si>
    <x:t xml:space="preserve">mariagabriella.pugliese@na.infn.it</x:t>
  </x:si>
  <x:si>
    <x:t xml:space="preserve">NOVARA </x:t>
  </x:si>
  <x:si>
    <x:t xml:space="preserve">Piergiacomo</x:t>
  </x:si>
  <x:si>
    <x:t xml:space="preserve">Baroni</x:t>
  </x:si>
  <x:si>
    <x:t xml:space="preserve">pierbaroni@gmail.com</x:t>
  </x:si>
  <x:si>
    <x:t xml:space="preserve">PALERMO</x:t>
  </x:si>
  <x:si>
    <x:t xml:space="preserve">Renzo</x:t>
  </x:si>
  <x:si>
    <x:t xml:space="preserve">Messina</x:t>
  </x:si>
  <x:si>
    <x:t xml:space="preserve">lorenzomessina67@gmail.com</x:t>
  </x:si>
  <x:si>
    <x:t xml:space="preserve">Treppiedi</x:t>
  </x:si>
  <x:si>
    <x:t xml:space="preserve">patreppi@hotmail.it</x:t>
  </x:si>
  <x:si>
    <x:t xml:space="preserve">PARMA reggio emilia</x:t>
  </x:si>
  <x:si>
    <x:t xml:space="preserve">Bruno</x:t>
  </x:si>
  <x:si>
    <x:t xml:space="preserve">Scaltriti</x:t>
  </x:si>
  <x:si>
    <x:t xml:space="preserve">brunoscaltriti@gmail.com</x:t>
  </x:si>
  <x:si>
    <x:t xml:space="preserve">PAVIA</x:t>
  </x:si>
  <x:si>
    <x:t xml:space="preserve">Musso</x:t>
  </x:si>
  <x:si>
    <x:t xml:space="preserve">giomusso@gmail.com</x:t>
  </x:si>
  <x:si>
    <x:t xml:space="preserve">PERUGIA</x:t>
  </x:si>
  <x:si>
    <x:t xml:space="preserve">Valerio</x:t>
  </x:si>
  <x:si>
    <x:t xml:space="preserve">valeriodecesaris@gmail.com</x:t>
  </x:si>
  <x:si>
    <x:t xml:space="preserve">PESCARA</x:t>
  </x:si>
  <x:si>
    <x:t xml:space="preserve">Gilberto</x:t>
  </x:si>
  <x:si>
    <x:t xml:space="preserve">Grasso</x:t>
  </x:si>
  <x:si>
    <x:t xml:space="preserve">grasso.gilberto@gmail.com</x:t>
  </x:si>
  <x:si>
    <x:t xml:space="preserve">REGGIO CALABRIA</x:t>
  </x:si>
  <x:si>
    <x:t xml:space="preserve">Michele</x:t>
  </x:si>
  <x:si>
    <x:t xml:space="preserve">Bartolo</x:t>
  </x:si>
  <x:si>
    <x:t xml:space="preserve">michelebartolo@gmail.com</x:t>
  </x:si>
  <x:si>
    <x:t xml:space="preserve">SASSARI</x:t>
  </x:si>
  <x:si>
    <x:t xml:space="preserve">Pulinas</x:t>
  </x:si>
  <x:si>
    <x:t xml:space="preserve">epulinas@gmail.com</x:t>
  </x:si>
  <x:si>
    <x:t xml:space="preserve">SAVONA</x:t>
  </x:si>
  <x:si>
    <x:t xml:space="preserve">Natascia</x:t>
  </x:si>
  <x:si>
    <x:t xml:space="preserve">De Rosso</x:t>
  </x:si>
  <x:si>
    <x:t xml:space="preserve">nderosso.ndr@gmail.com</x:t>
  </x:si>
  <x:si>
    <x:t xml:space="preserve">TERNI</x:t>
  </x:si>
  <x:si>
    <x:t xml:space="preserve">Riccardo</x:t>
  </x:si>
  <x:si>
    <x:t xml:space="preserve">Mensuali</x:t>
  </x:si>
  <x:si>
    <x:t xml:space="preserve">rmensuali@yahoo.it</x:t>
  </x:si>
  <x:si>
    <x:t xml:space="preserve">TORINO</x:t>
  </x:si>
  <x:si>
    <x:t xml:space="preserve">Elisa</x:t>
  </x:si>
  <x:si>
    <x:t xml:space="preserve">Ferrero</x:t>
  </x:si>
  <x:si>
    <x:t xml:space="preserve">ferrero.elisa74@gmail.com</x:t>
  </x:si>
  <x:si>
    <x:t xml:space="preserve">TRIESTE</x:t>
  </x:si>
  <x:si>
    <x:t xml:space="preserve">Catalfamo</x:t>
  </x:si>
  <x:si>
    <x:t xml:space="preserve">loredana.catalfamo48@gmail.com</x:t>
  </x:si>
  <x:si>
    <x:t xml:space="preserve">VENETO trento</x:t>
  </x:si>
  <x:si>
    <x:t xml:space="preserve">Elena</x:t>
  </x:si>
  <x:si>
    <x:t xml:space="preserve">Rizzato</x:t>
  </x:si>
  <x:si>
    <x:t xml:space="preserve">elena.rizzato@libero.it</x:t>
  </x:si>
  <x:si>
    <x:t xml:space="preserve">ALTRI paesi</x:t>
  </x:si>
  <x:si>
    <x:t xml:space="preserve">Austria</x:t>
  </x:si>
  <x:si>
    <x:t xml:space="preserve">Ursel</x:t>
  </x:si>
  <x:si>
    <x:t xml:space="preserve">Kalb</x:t>
  </x:si>
  <x:si>
    <x:t xml:space="preserve">u.kalb@gmx.de</x:t>
  </x:si>
  <x:si>
    <x:t xml:space="preserve">Barcellona</x:t>
  </x:si>
  <x:si>
    <x:t xml:space="preserve">GLORIA</x:t>
  </x:si>
  <x:si>
    <x:t xml:space="preserve">ABAD</x:t>
  </x:si>
  <x:si>
    <x:t xml:space="preserve">gabadserra@gmail.com</x:t>
  </x:si>
  <x:si>
    <x:t xml:space="preserve">Belgio Paesi Bassi</x:t>
  </x:si>
  <x:si>
    <x:t xml:space="preserve">Johan</x:t>
  </x:si>
  <x:si>
    <x:t xml:space="preserve">Beuckelaers</x:t>
  </x:si>
  <x:si>
    <x:t xml:space="preserve">johan.beuckelaers@santegidio.be</x:t>
  </x:si>
  <x:si>
    <x:t xml:space="preserve">Cechia</x:t>
  </x:si>
  <x:si>
    <x:t xml:space="preserve">Kristina</x:t>
  </x:si>
  <x:si>
    <x:t xml:space="preserve">Koldinská</x:t>
  </x:si>
  <x:si>
    <x:t xml:space="preserve">kristina.koldinska@gmail.com</x:t>
  </x:si>
  <x:si>
    <x:t xml:space="preserve">Francia</x:t>
  </x:si>
  <x:si>
    <x:t xml:space="preserve">Nicolas</x:t>
  </x:si>
  <x:si>
    <x:t xml:space="preserve">Bassy</x:t>
  </x:si>
  <x:si>
    <x:t xml:space="preserve">bassynicolas@gmail.com</x:t>
  </x:si>
  <x:si>
    <x:t xml:space="preserve">Germania</x:t>
  </x:si>
  <x:si>
    <x:t xml:space="preserve">Londra</x:t>
  </x:si>
  <x:si>
    <x:t xml:space="preserve">Emanuela</x:t>
  </x:si>
  <x:si>
    <x:t xml:space="preserve">Russo</x:t>
  </x:si>
  <x:si>
    <x:t xml:space="preserve">emanuela@santegidio.org.uk</x:t>
  </x:si>
  <x:si>
    <x:t xml:space="preserve">Losanna</x:t>
  </x:si>
  <x:si>
    <x:t xml:space="preserve">Anne Catherine</x:t>
  </x:si>
  <x:si>
    <x:t xml:space="preserve">Reymond</x:t>
  </x:si>
  <x:si>
    <x:t xml:space="preserve">santegidio.lausanne@gmail.com</x:t>
  </x:si>
  <x:si>
    <x:t xml:space="preserve">Madrid</x:t>
  </x:si>
  <x:si>
    <x:t xml:space="preserve">Tiscar</x:t>
  </x:si>
  <x:si>
    <x:t xml:space="preserve">Espigares</x:t>
  </x:si>
  <x:si>
    <x:t xml:space="preserve">tiscar@pm.me</x:t>
  </x:si>
  <x:si>
    <x:t xml:space="preserve">Mosca Ucraina</x:t>
  </x:si>
  <x:si>
    <x:t xml:space="preserve">Nicoletta</x:t>
  </x:si>
  <x:si>
    <x:t xml:space="preserve">D'Alessandro</x:t>
  </x:si>
  <x:si>
    <x:t xml:space="preserve">nicolettadal@hotmail.com</x:t>
  </x:si>
  <x:si>
    <x:t xml:space="preserve">Polonia</x:t>
  </x:si>
  <x:si>
    <x:t xml:space="preserve">Portogallo</x:t>
  </x:si>
  <x:si>
    <x:t xml:space="preserve">Slovacchia</x:t>
  </x:si>
  <x:si>
    <x:t xml:space="preserve">Peter</x:t>
  </x:si>
  <x:si>
    <x:t xml:space="preserve">Rusyniak</x:t>
  </x:si>
  <x:si>
    <x:t xml:space="preserve">peter.rusyniak@gmail.com</x:t>
  </x:si>
  <x:si>
    <x:t xml:space="preserve">Ungheria</x:t>
  </x:si>
  <x:si>
    <x:t xml:space="preserve">Teresa</x:t>
  </x:si>
  <x:si>
    <x:t xml:space="preserve">Di Renzi</x:t>
  </x:si>
  <x:si>
    <x:t xml:space="preserve">teresadirenzi@gmail.com</x:t>
  </x:si>
  <x:si>
    <x:t xml:space="preserve">USA</x:t>
  </x:si>
  <x:si>
    <x:t xml:space="preserve">Paolacarcaterra@gmail.com</x:t>
  </x:si>
  <x:si>
    <x:t xml:space="preserve">335 837 9239</x:t>
  </x:si>
  <x:si>
    <x:t xml:space="preserve">392 843 3072</x:t>
  </x:si>
  <x:si>
    <x:t xml:space="preserve">328 856 6420</x:t>
  </x:si>
  <x:si>
    <x:t xml:space="preserve">347 078 9044</x:t>
  </x:si>
  <x:si>
    <x:t xml:space="preserve">339 685 9985</x:t>
  </x:si>
  <x:si>
    <x:t xml:space="preserve">348 775 7419</x:t>
  </x:si>
  <x:si>
    <x:t xml:space="preserve">335 835 0484</x:t>
  </x:si>
  <x:si>
    <x:t xml:space="preserve">333 306 7242</x:t>
  </x:si>
  <x:si>
    <x:t xml:space="preserve">338 119 1848</x:t>
  </x:si>
  <x:si>
    <x:t xml:space="preserve">328 921 5619</x:t>
  </x:si>
  <x:si>
    <x:t xml:space="preserve">347 549 2884</x:t>
  </x:si>
  <x:si>
    <x:t xml:space="preserve">329 804 5898</x:t>
  </x:si>
  <x:si>
    <x:t xml:space="preserve">392 790 3993</x:t>
  </x:si>
  <x:si>
    <x:t xml:space="preserve">328 355 5031</x:t>
  </x:si>
  <x:si>
    <x:t xml:space="preserve">333 749 5055</x:t>
  </x:si>
  <x:si>
    <x:t xml:space="preserve">338 532 8237</x:t>
  </x:si>
  <x:si>
    <x:t xml:space="preserve">392 938 3807</x:t>
  </x:si>
  <x:si>
    <x:t xml:space="preserve">335 654 6578</x:t>
  </x:si>
  <x:si>
    <x:t xml:space="preserve">340 854 4433</x:t>
  </x:si>
  <x:si>
    <x:t xml:space="preserve">348 241 0434</x:t>
  </x:si>
  <x:si>
    <x:t xml:space="preserve">351 341 4991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</x:si>
</x:sst>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FFFF"/>
      <x:name val="Aptos Narrow"/>
    </x:font>
    <x:font>
      <x:i/>
      <x:sz val="11"/>
      <x:color rgb="FF214A73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123B72"/>
      </x:patternFill>
    </x:fill>
    <x:fill>
      <x:patternFill patternType="solid">
        <x:fgColor rgb="FFEAF4FF"/>
      </x:patternFill>
    </x:fill>
    <x:fill>
      <x:patternFill patternType="solid">
        <x:fgColor rgb="FF1F5D9D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Border="1"/>
    <x:xf numFmtId="0" fontId="1" fillId="0" borderId="0" xfId="0" applyFont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</x:cellXfs>
  <x:cellStyles count="1">
    <x:cellStyle name="Normale" xfId="0"/>
  </x:cellStyles>
  <x:dxfs count="6">
    <x:dxf>
      <x:font>
        <x:b/>
        <x:color rgb="FFA4231F"/>
      </x:font>
      <x:fill>
        <x:patternFill>
          <x:bgColor rgb="FFFDE2E1"/>
        </x:patternFill>
      </x:fill>
    </x:dxf>
    <x:dxf>
      <x:font>
        <x:b/>
        <x:color rgb="FF7A4A00"/>
      </x:font>
      <x:fill>
        <x:patternFill>
          <x:bgColor rgb="FFFFF2CC"/>
        </x:patternFill>
      </x:fill>
    </x:dxf>
    <x:dxf>
      <x:font>
        <x:color rgb="FF216E39"/>
      </x:font>
      <x:fill>
        <x:patternFill>
          <x:bgColor rgb="FFDDEFE2"/>
        </x:patternFill>
      </x:fill>
    </x:dxf>
    <x:dxf>
      <x:font>
        <x:color rgb="FF2458A6"/>
      </x:font>
      <x:fill>
        <x:patternFill>
          <x:bgColor rgb="FFE8F0FE"/>
        </x:patternFill>
      </x:fill>
    </x:dxf>
    <x:dxf>
      <x:font>
        <x:b/>
        <x:color rgb="FFA4231F"/>
      </x:font>
      <x:fill>
        <x:patternFill>
          <x:bgColor rgb="FFFDE2E1"/>
        </x:patternFill>
      </x:fill>
    </x:dxf>
    <x:dxf>
      <x:font>
        <x:color rgb="FF216E39"/>
      </x:font>
      <x:fill>
        <x:patternFill>
          <x:bgColor rgb="FFDDEF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45e6d1659406c" /><Relationship Type="http://schemas.openxmlformats.org/officeDocument/2006/relationships/theme" Target="/xl/theme/theme1.xml" Id="R19dc44ac00cf41bc" /><Relationship Type="http://schemas.openxmlformats.org/officeDocument/2006/relationships/sharedStrings" Target="/xl/sharedStrings.xml" Id="R8db95e90a1114a48" /><Relationship Type="http://schemas.openxmlformats.org/officeDocument/2006/relationships/worksheet" Target="/xl/worksheets/sheet1.xml" Id="R0b1058ae8e114b42" /><Relationship Type="http://schemas.openxmlformats.org/officeDocument/2006/relationships/worksheet" Target="/xl/worksheets/sheet2.xml" Id="Rc257cfc6d35c47d1" /><Relationship Type="http://schemas.openxmlformats.org/officeDocument/2006/relationships/worksheet" Target="/xl/worksheets/sheet3.xml" Id="R400c7e75c0e0492a" /><Relationship Type="http://schemas.openxmlformats.org/officeDocument/2006/relationships/worksheet" Target="/xl/worksheets/sheet4.xml" Id="R4d0247a82d614e04" /></Relationships>
</file>

<file path=xl/tables/table1.xml><?xml version="1.0" encoding="utf-8"?>
<x:table xmlns:x="http://schemas.openxmlformats.org/spreadsheetml/2006/main" id="1" name="ReferentiNormalizzati" displayName="ReferentiNormalizzati" ref="A4:O112" headerRowCount="1" totalsRowCount="0" totalsRowShown="0">
  <x:tableColumns count="15">
    <x:tableColumn id="1" name="Paese"/>
    <x:tableColumn id="2" name="Città"/>
    <x:tableColumn id="3" name="Gruppo / area"/>
    <x:tableColumn id="4" name="Tipo nodo"/>
    <x:tableColumn id="5" name="Nome referente"/>
    <x:tableColumn id="6" name="Cognome referente"/>
    <x:tableColumn id="7" name="Email"/>
    <x:tableColumn id="8" name="Telefono"/>
    <x:tableColumn id="9" name="Ordine nella fonte"/>
    <x:tableColumn id="10" name="Stato abbinamento"/>
    <x:tableColumn id="11" name="Gruppo origine"/>
    <x:tableColumn id="12" name="Raggruppamento origine"/>
    <x:tableColumn id="13" name="Zona origine"/>
    <x:tableColumn id="14" name="Note"/>
    <x:tableColumn id="15" name="ID gruppo ap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GruppiApp" displayName="CatalogoGruppiApp" ref="A4:J83" headerRowCount="1" totalsRowCount="0" totalsRowShown="0">
  <x:tableColumns count="10">
    <x:tableColumn id="1" name="Paese"/>
    <x:tableColumn id="2" name="Città"/>
    <x:tableColumn id="3" name="Gruppo / area"/>
    <x:tableColumn id="4" name="Tipo nodo"/>
    <x:tableColumn id="5" name="Assegnabile"/>
    <x:tableColumn id="6" name="Nel catalogo pubblico"/>
    <x:tableColumn id="7" name="Referente indicato nel progetto"/>
    <x:tableColumn id="8" name="N. referenti in lista"/>
    <x:tableColumn id="9" name="Copertura"/>
    <x:tableColumn id="10" name="ID gruppo ap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patrizia.pugliese@yahoo.it" TargetMode="External" Id="R227b1e5e4b414341" /><Relationship Type="http://schemas.openxmlformats.org/officeDocument/2006/relationships/hyperlink" Target="mailto:olga.madaro@gmail.com" TargetMode="External" Id="R13226afe01f24b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ae07ab55f234bc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fdfb577c79b4320" /></Relationships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2" width="28.33203125" customWidth="1"/>
    <x:col min="3" max="3" width="41.5" customWidth="1"/>
    <x:col min="4" max="5" width="36.6640625" customWidth="1"/>
    <x:col min="6" max="6" width="31.83203125" customWidth="1"/>
    <x:col min="7" max="7" width="16" customWidth="1"/>
    <x:col min="8" max="8" width="19.1640625" customWidth="1"/>
    <x:col min="9" max="9" width="27.5" customWidth="1"/>
    <x:col min="10" max="10" width="16" customWidth="1"/>
    <x:col min="11" max="11" width="20.5" customWidth="1"/>
    <x:col min="12" max="12" width="26.33203125" customWidth="1"/>
    <x:col min="13" max="13" width="17" customWidth="1"/>
    <x:col min="14" max="14" width="20.5" customWidth="1"/>
    <x:col min="15" max="15" width="29.6640625" customWidth="1"/>
    <x:col min="16" max="16" width="17" customWidth="1"/>
    <x:col min="17" max="17" width="20.5" customWidth="1"/>
    <x:col min="18" max="18" width="20.1640625" customWidth="1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</x:row>
    <x:row r="2">
      <x:c r="A2" s="1" t="s">
        <x:v>18</x:v>
      </x:c>
      <x:c r="B2" s="1" t="s">
        <x:v>19</x:v>
      </x:c>
      <x:c r="C2" s="1" t="s">
        <x:v>20</x:v>
      </x:c>
      <x:c r="D2" s="1" t="s">
        <x:v>21</x:v>
      </x:c>
      <x:c r="E2" s="1" t="s">
        <x:v>22</x:v>
      </x:c>
      <x:c r="F2" s="1" t="s">
        <x:v>23</x:v>
      </x:c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1" t="s">
        <x:v>18</x:v>
      </x:c>
      <x:c r="B3" s="1" t="s">
        <x:v>19</x:v>
      </x:c>
      <x:c r="C3" s="1" t="s">
        <x:v>24</x:v>
      </x:c>
      <x:c r="D3" s="1" t="s">
        <x:v>25</x:v>
      </x:c>
      <x:c r="E3" s="1" t="s">
        <x:v>26</x:v>
      </x:c>
      <x:c r="F3" s="1" t="s">
        <x:v>27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 t="s">
        <x:v>18</x:v>
      </x:c>
      <x:c r="B4" s="1" t="s">
        <x:v>19</x:v>
      </x:c>
      <x:c r="C4" s="1" t="s">
        <x:v>28</x:v>
      </x:c>
      <x:c r="D4" s="1" t="s">
        <x:v>29</x:v>
      </x:c>
      <x:c r="E4" s="1" t="s">
        <x:v>30</x:v>
      </x:c>
      <x:c r="F4" s="1" t="s">
        <x:v>31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1" t="s">
        <x:v>18</x:v>
      </x:c>
      <x:c r="B5" s="1" t="s">
        <x:v>19</x:v>
      </x:c>
      <x:c r="C5" s="1" t="s">
        <x:v>32</x:v>
      </x:c>
      <x:c r="D5" s="1" t="s">
        <x:v>33</x:v>
      </x:c>
      <x:c r="E5" s="1" t="s">
        <x:v>34</x:v>
      </x:c>
      <x:c r="F5" s="1" t="s">
        <x:v>35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" t="s">
        <x:v>18</x:v>
      </x:c>
      <x:c r="B6" s="1" t="s">
        <x:v>19</x:v>
      </x:c>
      <x:c r="C6" s="1" t="s">
        <x:v>36</x:v>
      </x:c>
      <x:c r="D6" s="1" t="s">
        <x:v>37</x:v>
      </x:c>
      <x:c r="E6" s="1" t="s">
        <x:v>38</x:v>
      </x:c>
      <x:c r="F6" s="1" t="s">
        <x:v>39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A7" s="1" t="s">
        <x:v>18</x:v>
      </x:c>
      <x:c r="B7" s="1" t="s">
        <x:v>19</x:v>
      </x:c>
      <x:c r="C7" s="1" t="s">
        <x:v>40</x:v>
      </x:c>
      <x:c r="D7" s="1" t="s">
        <x:v>41</x:v>
      </x:c>
      <x:c r="E7" s="1" t="s">
        <x:v>42</x:v>
      </x:c>
      <x:c r="F7" s="1" t="s">
        <x:v>43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" t="s">
        <x:v>18</x:v>
      </x:c>
      <x:c r="B8" s="1" t="s">
        <x:v>19</x:v>
      </x:c>
      <x:c r="C8" s="1" t="s">
        <x:v>44</x:v>
      </x:c>
      <x:c r="D8" s="1" t="s">
        <x:v>45</x:v>
      </x:c>
      <x:c r="E8" s="1" t="s">
        <x:v>46</x:v>
      </x:c>
      <x:c r="F8" s="1" t="s">
        <x:v>47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" t="s">
        <x:v>18</x:v>
      </x:c>
      <x:c r="B9" s="1" t="s">
        <x:v>19</x:v>
      </x:c>
      <x:c r="C9" s="1" t="s">
        <x:v>48</x:v>
      </x:c>
      <x:c r="D9" s="1" t="s">
        <x:v>49</x:v>
      </x:c>
      <x:c r="E9" s="1" t="s">
        <x:v>50</x:v>
      </x:c>
      <x:c r="F9" s="1" t="s">
        <x:v>51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A10" s="1" t="s">
        <x:v>18</x:v>
      </x:c>
      <x:c r="B10" s="1" t="s">
        <x:v>19</x:v>
      </x:c>
      <x:c r="C10" s="1" t="s">
        <x:v>52</x:v>
      </x:c>
      <x:c r="D10" s="1" t="s">
        <x:v>53</x:v>
      </x:c>
      <x:c r="E10" s="1" t="s">
        <x:v>54</x:v>
      </x:c>
      <x:c r="F10" s="1" t="s">
        <x:v>55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1" t="s">
        <x:v>18</x:v>
      </x:c>
      <x:c r="B11" s="1" t="s">
        <x:v>19</x:v>
      </x:c>
      <x:c r="C11" s="1" t="s">
        <x:v>56</x:v>
      </x:c>
      <x:c r="D11" s="1" t="s">
        <x:v>57</x:v>
      </x:c>
      <x:c r="E11" s="1" t="s">
        <x:v>58</x:v>
      </x:c>
      <x:c r="F11" s="1" t="s">
        <x:v>59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 t="s">
        <x:v>18</x:v>
      </x:c>
      <x:c r="B12" s="1" t="s">
        <x:v>19</x:v>
      </x:c>
      <x:c r="C12" s="1" t="s">
        <x:v>60</x:v>
      </x:c>
      <x:c r="D12" s="1" t="s">
        <x:v>61</x:v>
      </x:c>
      <x:c r="E12" s="1" t="s">
        <x:v>62</x:v>
      </x:c>
      <x:c r="F12" s="1" t="s">
        <x:v>63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" t="s">
        <x:v>18</x:v>
      </x:c>
      <x:c r="B13" s="1" t="s">
        <x:v>19</x:v>
      </x:c>
      <x:c r="C13" s="1" t="s">
        <x:v>64</x:v>
      </x:c>
      <x:c r="D13" s="1" t="s">
        <x:v>65</x:v>
      </x:c>
      <x:c r="E13" s="1" t="s">
        <x:v>66</x:v>
      </x:c>
      <x:c r="F13" s="1" t="s">
        <x:v>67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 t="s">
        <x:v>18</x:v>
      </x:c>
      <x:c r="B14" s="1" t="s">
        <x:v>19</x:v>
      </x:c>
      <x:c r="C14" s="1" t="s">
        <x:v>68</x:v>
      </x:c>
      <x:c r="D14" s="1" t="s">
        <x:v>69</x:v>
      </x:c>
      <x:c r="E14" s="1" t="s">
        <x:v>70</x:v>
      </x:c>
      <x:c r="F14" s="1" t="s">
        <x:v>71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 t="s">
        <x:v>18</x:v>
      </x:c>
      <x:c r="B15" s="1" t="s">
        <x:v>19</x:v>
      </x:c>
      <x:c r="C15" s="1" t="s">
        <x:v>72</x:v>
      </x:c>
      <x:c r="D15" s="1" t="s">
        <x:v>73</x:v>
      </x:c>
      <x:c r="E15" s="1" t="s">
        <x:v>74</x:v>
      </x:c>
      <x:c r="F15" s="1" t="s">
        <x:v>75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 t="s">
        <x:v>18</x:v>
      </x:c>
      <x:c r="B16" s="1" t="s">
        <x:v>19</x:v>
      </x:c>
      <x:c r="C16" s="1" t="s">
        <x:v>76</x:v>
      </x:c>
      <x:c r="D16" s="1" t="s">
        <x:v>77</x:v>
      </x:c>
      <x:c r="E16" s="1" t="s">
        <x:v>78</x:v>
      </x:c>
      <x:c r="F16" s="1" t="s">
        <x:v>79</x:v>
      </x:c>
      <x:c r="G16" s="1" t="s">
        <x:v>80</x:v>
      </x:c>
      <x:c r="H16" s="1" t="s">
        <x:v>81</x:v>
      </x:c>
      <x:c r="I16" s="1" t="s">
        <x:v>82</x:v>
      </x:c>
      <x:c r="J16" s="1" t="s">
        <x:v>83</x:v>
      </x:c>
      <x:c r="K16" s="1" t="s">
        <x:v>84</x:v>
      </x:c>
      <x:c r="L16" s="1" t="s">
        <x:v>85</x:v>
      </x:c>
      <x:c r="M16" s="1"/>
      <x:c r="N16" s="1"/>
      <x:c r="O16" s="1"/>
      <x:c r="P16" s="1"/>
      <x:c r="Q16" s="1"/>
      <x:c r="R16" s="1"/>
    </x:row>
    <x:row r="17">
      <x:c r="A17" s="1" t="s">
        <x:v>18</x:v>
      </x:c>
      <x:c r="B17" s="1" t="s">
        <x:v>19</x:v>
      </x:c>
      <x:c r="C17" s="1" t="s">
        <x:v>86</x:v>
      </x:c>
      <x:c r="D17" s="1" t="s">
        <x:v>87</x:v>
      </x:c>
      <x:c r="E17" s="1" t="s">
        <x:v>88</x:v>
      </x:c>
      <x:c r="F17" s="1" t="s">
        <x:v>89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 t="s">
        <x:v>18</x:v>
      </x:c>
      <x:c r="B18" s="1" t="s">
        <x:v>19</x:v>
      </x:c>
      <x:c r="C18" s="1" t="s">
        <x:v>90</x:v>
      </x:c>
      <x:c r="D18" s="1" t="s">
        <x:v>73</x:v>
      </x:c>
      <x:c r="E18" s="1" t="s">
        <x:v>91</x:v>
      </x:c>
      <x:c r="F18" s="1" t="s">
        <x:v>92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 t="s">
        <x:v>18</x:v>
      </x:c>
      <x:c r="B19" s="1" t="s">
        <x:v>93</x:v>
      </x:c>
      <x:c r="C19" s="1" t="s">
        <x:v>94</x:v>
      </x:c>
      <x:c r="D19" s="1" t="s">
        <x:v>95</x:v>
      </x:c>
      <x:c r="E19" s="1" t="s">
        <x:v>96</x:v>
      </x:c>
      <x:c r="F19" s="1" t="s">
        <x:v>97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 t="s">
        <x:v>18</x:v>
      </x:c>
      <x:c r="B20" s="1" t="s">
        <x:v>93</x:v>
      </x:c>
      <x:c r="C20" s="1" t="s">
        <x:v>98</x:v>
      </x:c>
      <x:c r="D20" s="1" t="s">
        <x:v>73</x:v>
      </x:c>
      <x:c r="E20" s="1" t="s">
        <x:v>91</x:v>
      </x:c>
      <x:c r="F20" s="1" t="s">
        <x:v>99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 t="s">
        <x:v>18</x:v>
      </x:c>
      <x:c r="B21" s="1" t="s">
        <x:v>93</x:v>
      </x:c>
      <x:c r="C21" s="1" t="s">
        <x:v>100</x:v>
      </x:c>
      <x:c r="D21" s="1" t="s">
        <x:v>101</x:v>
      </x:c>
      <x:c r="E21" s="1" t="s">
        <x:v>102</x:v>
      </x:c>
      <x:c r="F21" s="1" t="s">
        <x:v>103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 t="s">
        <x:v>18</x:v>
      </x:c>
      <x:c r="B22" s="1" t="s">
        <x:v>93</x:v>
      </x:c>
      <x:c r="C22" s="1" t="s">
        <x:v>104</x:v>
      </x:c>
      <x:c r="D22" s="1" t="s">
        <x:v>105</x:v>
      </x:c>
      <x:c r="E22" s="1" t="s">
        <x:v>106</x:v>
      </x:c>
      <x:c r="F22" s="1" t="s">
        <x:v>107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 t="s">
        <x:v>18</x:v>
      </x:c>
      <x:c r="B23" s="1" t="s">
        <x:v>93</x:v>
      </x:c>
      <x:c r="C23" s="1" t="s">
        <x:v>108</x:v>
      </x:c>
      <x:c r="D23" s="1" t="s">
        <x:v>41</x:v>
      </x:c>
      <x:c r="E23" s="1" t="s">
        <x:v>42</x:v>
      </x:c>
      <x:c r="F23" s="1" t="s">
        <x:v>109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 t="s">
        <x:v>18</x:v>
      </x:c>
      <x:c r="B24" s="1" t="s">
        <x:v>93</x:v>
      </x:c>
      <x:c r="C24" s="1" t="s">
        <x:v>110</x:v>
      </x:c>
      <x:c r="D24" s="1" t="s">
        <x:v>25</x:v>
      </x:c>
      <x:c r="E24" s="1" t="s">
        <x:v>111</x:v>
      </x:c>
      <x:c r="F24" s="1" t="s">
        <x:v>112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 t="s">
        <x:v>18</x:v>
      </x:c>
      <x:c r="B25" s="1" t="s">
        <x:v>93</x:v>
      </x:c>
      <x:c r="C25" s="1" t="s">
        <x:v>113</x:v>
      </x:c>
      <x:c r="D25" s="1" t="s">
        <x:v>114</x:v>
      </x:c>
      <x:c r="E25" s="1" t="s">
        <x:v>115</x:v>
      </x:c>
      <x:c r="F25" s="1" t="s">
        <x:v>116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 t="s">
        <x:v>18</x:v>
      </x:c>
      <x:c r="B26" s="1" t="s">
        <x:v>93</x:v>
      </x:c>
      <x:c r="C26" s="1" t="s">
        <x:v>117</x:v>
      </x:c>
      <x:c r="D26" s="1" t="s">
        <x:v>118</x:v>
      </x:c>
      <x:c r="E26" s="1" t="s">
        <x:v>119</x:v>
      </x:c>
      <x:c r="F26" s="1" t="s">
        <x:v>120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 t="s">
        <x:v>18</x:v>
      </x:c>
      <x:c r="B27" s="1" t="s">
        <x:v>93</x:v>
      </x:c>
      <x:c r="C27" s="1" t="s">
        <x:v>121</x:v>
      </x:c>
      <x:c r="D27" s="1" t="s">
        <x:v>41</x:v>
      </x:c>
      <x:c r="E27" s="1" t="s">
        <x:v>122</x:v>
      </x:c>
      <x:c r="F27" s="1" t="s">
        <x:v>123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 t="s">
        <x:v>18</x:v>
      </x:c>
      <x:c r="B28" s="1" t="s">
        <x:v>93</x:v>
      </x:c>
      <x:c r="C28" s="1" t="s">
        <x:v>124</x:v>
      </x:c>
      <x:c r="D28" s="1" t="s">
        <x:v>125</x:v>
      </x:c>
      <x:c r="E28" s="1" t="s">
        <x:v>126</x:v>
      </x:c>
      <x:c r="F28" s="1" t="s">
        <x:v>127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 t="s">
        <x:v>18</x:v>
      </x:c>
      <x:c r="B29" s="1" t="s">
        <x:v>93</x:v>
      </x:c>
      <x:c r="C29" s="1" t="s">
        <x:v>128</x:v>
      </x:c>
      <x:c r="D29" s="1" t="s">
        <x:v>49</x:v>
      </x:c>
      <x:c r="E29" s="1" t="s">
        <x:v>129</x:v>
      </x:c>
      <x:c r="F29" s="1" t="s">
        <x:v>130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 t="s">
        <x:v>18</x:v>
      </x:c>
      <x:c r="B30" s="1" t="s">
        <x:v>93</x:v>
      </x:c>
      <x:c r="C30" s="1" t="s">
        <x:v>131</x:v>
      </x:c>
      <x:c r="D30" s="1" t="s">
        <x:v>132</x:v>
      </x:c>
      <x:c r="E30" s="1" t="s">
        <x:v>133</x:v>
      </x:c>
      <x:c r="F30" s="1" t="s">
        <x:v>134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 t="s">
        <x:v>18</x:v>
      </x:c>
      <x:c r="B31" s="1" t="s">
        <x:v>93</x:v>
      </x:c>
      <x:c r="C31" s="1" t="s">
        <x:v>135</x:v>
      </x:c>
      <x:c r="D31" s="1" t="s">
        <x:v>65</x:v>
      </x:c>
      <x:c r="E31" s="1" t="s">
        <x:v>58</x:v>
      </x:c>
      <x:c r="F31" s="1" t="s">
        <x:v>136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 t="s">
        <x:v>18</x:v>
      </x:c>
      <x:c r="B32" s="1" t="s">
        <x:v>93</x:v>
      </x:c>
      <x:c r="C32" s="1" t="s">
        <x:v>137</x:v>
      </x:c>
      <x:c r="D32" s="1" t="s">
        <x:v>138</x:v>
      </x:c>
      <x:c r="E32" s="1" t="s">
        <x:v>139</x:v>
      </x:c>
      <x:c r="F32" s="1" t="s">
        <x:v>140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 t="s">
        <x:v>18</x:v>
      </x:c>
      <x:c r="B33" s="1" t="s">
        <x:v>93</x:v>
      </x:c>
      <x:c r="C33" s="1" t="s">
        <x:v>141</x:v>
      </x:c>
      <x:c r="D33" s="1" t="s">
        <x:v>53</x:v>
      </x:c>
      <x:c r="E33" s="1" t="s">
        <x:v>142</x:v>
      </x:c>
      <x:c r="F33" s="1" t="s">
        <x:v>143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 t="s">
        <x:v>18</x:v>
      </x:c>
      <x:c r="B34" s="1" t="s">
        <x:v>93</x:v>
      </x:c>
      <x:c r="C34" s="1" t="s">
        <x:v>144</x:v>
      </x:c>
      <x:c r="D34" s="1" t="s">
        <x:v>145</x:v>
      </x:c>
      <x:c r="E34" s="1" t="s">
        <x:v>146</x:v>
      </x:c>
      <x:c r="F34" s="1" t="s">
        <x:v>147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 t="s">
        <x:v>18</x:v>
      </x:c>
      <x:c r="B35" s="1" t="s">
        <x:v>93</x:v>
      </x:c>
      <x:c r="C35" s="1" t="s">
        <x:v>148</x:v>
      </x:c>
      <x:c r="D35" s="1" t="s">
        <x:v>105</x:v>
      </x:c>
      <x:c r="E35" s="1" t="s">
        <x:v>106</x:v>
      </x:c>
      <x:c r="F35" s="1" t="s">
        <x:v>107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>
      <x:c r="A36" s="1" t="s">
        <x:v>18</x:v>
      </x:c>
      <x:c r="B36" s="1" t="s">
        <x:v>93</x:v>
      </x:c>
      <x:c r="C36" s="1" t="s">
        <x:v>149</x:v>
      </x:c>
      <x:c r="D36" s="1" t="s">
        <x:v>132</x:v>
      </x:c>
      <x:c r="E36" s="1" t="s">
        <x:v>133</x:v>
      </x:c>
      <x:c r="F36" s="1" t="s">
        <x:v>134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>
      <x:c r="A37" s="1" t="s">
        <x:v>18</x:v>
      </x:c>
      <x:c r="B37" s="1" t="s">
        <x:v>93</x:v>
      </x:c>
      <x:c r="C37" s="1" t="s">
        <x:v>150</x:v>
      </x:c>
      <x:c r="D37" s="1" t="s">
        <x:v>151</x:v>
      </x:c>
      <x:c r="E37" s="1" t="s">
        <x:v>152</x:v>
      </x:c>
      <x:c r="F37" s="1" t="s">
        <x:v>153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 t="s">
        <x:v>18</x:v>
      </x:c>
      <x:c r="B38" s="1" t="s">
        <x:v>93</x:v>
      </x:c>
      <x:c r="C38" s="1" t="s">
        <x:v>154</x:v>
      </x:c>
      <x:c r="D38" s="1" t="s">
        <x:v>57</x:v>
      </x:c>
      <x:c r="E38" s="1" t="s">
        <x:v>155</x:v>
      </x:c>
      <x:c r="F38" s="1" t="s">
        <x:v>156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A39" s="1" t="s">
        <x:v>18</x:v>
      </x:c>
      <x:c r="B39" s="1" t="s">
        <x:v>93</x:v>
      </x:c>
      <x:c r="C39" s="1" t="s">
        <x:v>157</x:v>
      </x:c>
      <x:c r="D39" s="1" t="s">
        <x:v>125</x:v>
      </x:c>
      <x:c r="E39" s="1" t="s">
        <x:v>126</x:v>
      </x:c>
      <x:c r="F39" s="1" t="s">
        <x:v>127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" t="s">
        <x:v>18</x:v>
      </x:c>
      <x:c r="B40" s="1" t="s">
        <x:v>93</x:v>
      </x:c>
      <x:c r="C40" s="1" t="s">
        <x:v>158</x:v>
      </x:c>
      <x:c r="D40" s="1" t="s">
        <x:v>159</x:v>
      </x:c>
      <x:c r="E40" s="1" t="s">
        <x:v>160</x:v>
      </x:c>
      <x:c r="F40" s="1" t="s">
        <x:v>161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" t="s">
        <x:v>18</x:v>
      </x:c>
      <x:c r="B41" s="1" t="s">
        <x:v>93</x:v>
      </x:c>
      <x:c r="C41" s="1" t="s">
        <x:v>162</x:v>
      </x:c>
      <x:c r="D41" s="1" t="s">
        <x:v>163</x:v>
      </x:c>
      <x:c r="E41" s="1" t="s">
        <x:v>164</x:v>
      </x:c>
      <x:c r="F41" s="1" t="s">
        <x:v>165</x:v>
      </x:c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>
      <x:c r="A42" s="1" t="s">
        <x:v>18</x:v>
      </x:c>
      <x:c r="B42" s="1" t="s">
        <x:v>93</x:v>
      </x:c>
      <x:c r="C42" s="1" t="s">
        <x:v>166</x:v>
      </x:c>
      <x:c r="D42" s="1" t="s">
        <x:v>167</x:v>
      </x:c>
      <x:c r="E42" s="1" t="s">
        <x:v>168</x:v>
      </x:c>
      <x:c r="F42" s="1" t="s">
        <x:v>169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>
      <x:c r="A43" s="1" t="s">
        <x:v>18</x:v>
      </x:c>
      <x:c r="B43" s="1"/>
      <x:c r="C43" s="1" t="s">
        <x:v>170</x:v>
      </x:c>
      <x:c r="D43" s="1" t="s">
        <x:v>171</x:v>
      </x:c>
      <x:c r="E43" s="1" t="s">
        <x:v>172</x:v>
      </x:c>
      <x:c r="F43" s="1" t="s">
        <x:v>173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>
      <x:c r="A44" s="1" t="s">
        <x:v>18</x:v>
      </x:c>
      <x:c r="B44" s="1"/>
      <x:c r="C44" s="1" t="s">
        <x:v>174</x:v>
      </x:c>
      <x:c r="D44" s="1" t="s">
        <x:v>95</x:v>
      </x:c>
      <x:c r="E44" s="1" t="s">
        <x:v>175</x:v>
      </x:c>
      <x:c r="F44" s="1" t="s">
        <x:v>176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>
      <x:c r="A45" s="1" t="s">
        <x:v>18</x:v>
      </x:c>
      <x:c r="B45" s="1"/>
      <x:c r="C45" s="1" t="s">
        <x:v>177</x:v>
      </x:c>
      <x:c r="D45" s="1" t="s">
        <x:v>178</x:v>
      </x:c>
      <x:c r="E45" s="1" t="s">
        <x:v>179</x:v>
      </x:c>
      <x:c r="F45" t="s">
        <x:v>180</x:v>
      </x:c>
      <x:c r="G45" s="1" t="s">
        <x:v>53</x:v>
      </x:c>
      <x:c r="H45" s="1" t="s">
        <x:v>181</x:v>
      </x:c>
      <x:c r="I45" s="1" t="s">
        <x:v>182</x:v>
      </x:c>
      <x:c r="J45" s="1"/>
      <x:c r="K45" s="1"/>
      <x:c r="L45" s="1"/>
      <x:c r="M45" s="1"/>
      <x:c r="N45" s="1"/>
      <x:c r="O45" s="1"/>
      <x:c r="P45" s="1"/>
      <x:c r="Q45" s="1"/>
      <x:c r="R45" s="1"/>
    </x:row>
    <x:row r="46">
      <x:c r="A46" s="1" t="s">
        <x:v>18</x:v>
      </x:c>
      <x:c r="B46" s="1" t="s">
        <x:v>183</x:v>
      </x:c>
      <x:c r="C46" s="1" t="s">
        <x:v>184</x:v>
      </x:c>
      <x:c r="D46" s="1" t="s">
        <x:v>185</x:v>
      </x:c>
      <x:c r="E46" s="1" t="s">
        <x:v>186</x:v>
      </x:c>
      <x:c r="F46" s="1" t="s">
        <x:v>187</x:v>
      </x:c>
      <x:c r="G46" s="1" t="s">
        <x:v>188</x:v>
      </x:c>
      <x:c r="H46" s="1" t="s">
        <x:v>189</x:v>
      </x:c>
      <x:c r="I46" s="1" t="s">
        <x:v>190</x:v>
      </x:c>
      <x:c r="J46" s="1"/>
      <x:c r="K46" s="1"/>
      <x:c r="L46" s="1"/>
      <x:c r="M46" s="1"/>
      <x:c r="N46" s="1"/>
      <x:c r="O46" s="1"/>
      <x:c r="P46" s="1"/>
      <x:c r="Q46" s="1"/>
      <x:c r="R46" s="1"/>
    </x:row>
    <x:row r="47">
      <x:c r="A47" s="1" t="s">
        <x:v>18</x:v>
      </x:c>
      <x:c r="B47" s="1" t="s">
        <x:v>183</x:v>
      </x:c>
      <x:c r="C47" s="1" t="s">
        <x:v>191</x:v>
      </x:c>
      <x:c r="D47" s="1" t="s">
        <x:v>192</x:v>
      </x:c>
      <x:c r="E47" s="1" t="s">
        <x:v>193</x:v>
      </x:c>
      <x:c r="F47" t="s">
        <x:v>194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>
      <x:c r="A48" s="1" t="s">
        <x:v>18</x:v>
      </x:c>
      <x:c r="B48" s="1"/>
      <x:c r="C48" s="1" t="s">
        <x:v>195</x:v>
      </x:c>
      <x:c r="D48" s="1" t="s">
        <x:v>196</x:v>
      </x:c>
      <x:c r="E48" s="1" t="s">
        <x:v>197</x:v>
      </x:c>
      <x:c r="F48" t="s">
        <x:v>198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>
      <x:c r="A49" s="1" t="s">
        <x:v>18</x:v>
      </x:c>
      <x:c r="B49" s="1"/>
      <x:c r="C49" s="1" t="s">
        <x:v>199</x:v>
      </x:c>
      <x:c r="D49" s="1" t="s">
        <x:v>200</x:v>
      </x:c>
      <x:c r="E49" s="1" t="s">
        <x:v>201</x:v>
      </x:c>
      <x:c r="F49" t="s">
        <x:v>202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>
      <x:c r="A50" s="1" t="s">
        <x:v>18</x:v>
      </x:c>
      <x:c r="B50" s="1"/>
      <x:c r="C50" s="1" t="s">
        <x:v>203</x:v>
      </x:c>
      <x:c r="D50" s="1" t="s">
        <x:v>132</x:v>
      </x:c>
      <x:c r="E50" s="1" t="s">
        <x:v>204</x:v>
      </x:c>
      <x:c r="F50" t="s">
        <x:v>205</x:v>
      </x:c>
      <x:c r="G50" s="1" t="s">
        <x:v>206</x:v>
      </x:c>
      <x:c r="H50" s="1" t="s">
        <x:v>207</x:v>
      </x:c>
      <x:c r="I50" s="1" t="s">
        <x:v>208</x:v>
      </x:c>
      <x:c r="J50" s="1" t="s">
        <x:v>105</x:v>
      </x:c>
      <x:c r="K50" s="1" t="s">
        <x:v>209</x:v>
      </x:c>
      <x:c r="L50" s="1" t="s">
        <x:v>210</x:v>
      </x:c>
      <x:c r="M50" s="1" t="s">
        <x:v>211</x:v>
      </x:c>
      <x:c r="N50" s="1" t="s">
        <x:v>70</x:v>
      </x:c>
      <x:c r="O50" s="1" t="s">
        <x:v>212</x:v>
      </x:c>
      <x:c r="P50" s="1" t="s">
        <x:v>213</x:v>
      </x:c>
      <x:c r="Q50" s="1" t="s">
        <x:v>214</x:v>
      </x:c>
      <x:c r="R50" s="1" t="s">
        <x:v>215</x:v>
      </x:c>
    </x:row>
    <x:row r="51">
      <x:c r="A51" s="1" t="s">
        <x:v>18</x:v>
      </x:c>
      <x:c r="B51" s="1"/>
      <x:c r="C51" s="1" t="s">
        <x:v>216</x:v>
      </x:c>
      <x:c r="D51" s="1" t="s">
        <x:v>83</x:v>
      </x:c>
      <x:c r="E51" s="1" t="s">
        <x:v>217</x:v>
      </x:c>
      <x:c r="F51" t="s">
        <x:v>218</x:v>
      </x:c>
      <x:c r="G51" s="1" t="s">
        <x:v>219</x:v>
      </x:c>
      <x:c r="H51" s="1" t="s">
        <x:v>122</x:v>
      </x:c>
      <x:c r="I51" s="1" t="s">
        <x:v>220</x:v>
      </x:c>
      <x:c r="J51" s="1"/>
      <x:c r="K51" s="1"/>
      <x:c r="L51" s="1"/>
      <x:c r="M51" s="1"/>
      <x:c r="N51" s="1"/>
      <x:c r="O51" s="1"/>
      <x:c r="P51" s="1"/>
      <x:c r="Q51" s="1"/>
      <x:c r="R51" s="1"/>
    </x:row>
    <x:row r="52">
      <x:c r="A52" s="1" t="s">
        <x:v>18</x:v>
      </x:c>
      <x:c r="B52" s="1"/>
      <x:c r="C52" s="1" t="s">
        <x:v>221</x:v>
      </x:c>
      <x:c r="D52" s="1" t="s">
        <x:v>222</x:v>
      </x:c>
      <x:c r="E52" s="1" t="s">
        <x:v>223</x:v>
      </x:c>
      <x:c r="F52" s="1" t="s">
        <x:v>224</x:v>
      </x:c>
      <x:c r="G52" s="1" t="s">
        <x:v>225</x:v>
      </x:c>
      <x:c r="H52" s="1" t="s">
        <x:v>226</x:v>
      </x:c>
      <x:c r="I52" s="1" t="s">
        <x:v>227</x:v>
      </x:c>
      <x:c r="J52" s="1"/>
      <x:c r="K52" s="1"/>
      <x:c r="L52" s="1"/>
      <x:c r="M52" s="1"/>
      <x:c r="N52" s="1"/>
      <x:c r="O52" s="1"/>
      <x:c r="P52" s="1"/>
      <x:c r="Q52" s="1"/>
      <x:c r="R52" s="1"/>
    </x:row>
    <x:row r="53">
      <x:c r="A53" s="1" t="s">
        <x:v>18</x:v>
      </x:c>
      <x:c r="B53" s="1"/>
      <x:c r="C53" s="1" t="s">
        <x:v>228</x:v>
      </x:c>
      <x:c r="D53" s="1" t="s">
        <x:v>229</x:v>
      </x:c>
      <x:c r="E53" s="1" t="s">
        <x:v>230</x:v>
      </x:c>
      <x:c r="F53" t="s">
        <x:v>231</x:v>
      </x:c>
      <x:c r="G53" s="1" t="s">
        <x:v>232</x:v>
      </x:c>
      <x:c r="H53" s="1" t="s">
        <x:v>233</x:v>
      </x:c>
      <x:c r="I53" s="1" t="s">
        <x:v>234</x:v>
      </x:c>
      <x:c r="J53" s="1"/>
      <x:c r="K53" s="1"/>
      <x:c r="L53" s="1"/>
      <x:c r="M53" s="1"/>
      <x:c r="N53" s="1"/>
      <x:c r="O53" s="1"/>
      <x:c r="P53" s="1"/>
      <x:c r="Q53" s="1"/>
      <x:c r="R53" s="1"/>
    </x:row>
    <x:row r="54">
      <x:c r="A54" s="1" t="s">
        <x:v>18</x:v>
      </x:c>
      <x:c r="B54" s="1"/>
      <x:c r="C54" s="1" t="s">
        <x:v>235</x:v>
      </x:c>
      <x:c r="D54" s="1" t="s">
        <x:v>236</x:v>
      </x:c>
      <x:c r="E54" s="1" t="s">
        <x:v>237</x:v>
      </x:c>
      <x:c r="F54" s="1" t="s">
        <x:v>238</x:v>
      </x:c>
      <x:c r="G54" s="1" t="s">
        <x:v>239</x:v>
      </x:c>
      <x:c r="H54" s="1" t="s">
        <x:v>240</x:v>
      </x:c>
      <x:c r="I54" s="1" t="s">
        <x:v>241</x:v>
      </x:c>
      <x:c r="J54" s="1"/>
      <x:c r="K54" s="1"/>
      <x:c r="L54" s="1"/>
      <x:c r="M54" s="1"/>
      <x:c r="N54" s="1"/>
      <x:c r="O54" s="1"/>
      <x:c r="P54" s="1"/>
      <x:c r="Q54" s="1"/>
      <x:c r="R54" s="1"/>
    </x:row>
    <x:row r="55">
      <x:c r="A55" s="1" t="s">
        <x:v>18</x:v>
      </x:c>
      <x:c r="B55" s="1"/>
      <x:c r="C55" s="1" t="s">
        <x:v>242</x:v>
      </x:c>
      <x:c r="D55" s="1" t="s">
        <x:v>243</x:v>
      </x:c>
      <x:c r="E55" s="1" t="s">
        <x:v>244</x:v>
      </x:c>
      <x:c r="F55" t="s">
        <x:v>245</x:v>
      </x:c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>
      <x:c r="A56" s="1" t="s">
        <x:v>18</x:v>
      </x:c>
      <x:c r="B56" s="1"/>
      <x:c r="C56" s="1" t="s">
        <x:v>246</x:v>
      </x:c>
      <x:c r="D56" s="1" t="s">
        <x:v>247</x:v>
      </x:c>
      <x:c r="E56" s="1" t="s">
        <x:v>248</x:v>
      </x:c>
      <x:c r="F56" s="1" t="s">
        <x:v>249</x:v>
      </x:c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>
      <x:c r="A57" s="1" t="s">
        <x:v>250</x:v>
      </x:c>
      <x:c r="B57" s="1"/>
      <x:c r="C57" s="1" t="s">
        <x:v>251</x:v>
      </x:c>
      <x:c r="D57" s="1" t="s">
        <x:v>252</x:v>
      </x:c>
      <x:c r="E57" s="1" t="s">
        <x:v>253</x:v>
      </x:c>
      <x:c r="F57" s="1" t="s">
        <x:v>254</x:v>
      </x:c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>
      <x:c r="A58" s="1" t="s">
        <x:v>250</x:v>
      </x:c>
      <x:c r="B58" s="1"/>
      <x:c r="C58" s="1" t="s">
        <x:v>255</x:v>
      </x:c>
      <x:c r="D58" s="1" t="s">
        <x:v>256</x:v>
      </x:c>
      <x:c r="E58" s="1" t="s">
        <x:v>257</x:v>
      </x:c>
      <x:c r="F58" t="s">
        <x:v>258</x:v>
      </x:c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>
      <x:c r="A59" s="1" t="s">
        <x:v>250</x:v>
      </x:c>
      <x:c r="B59" s="1"/>
      <x:c r="C59" s="1" t="s">
        <x:v>259</x:v>
      </x:c>
      <x:c r="D59" s="1" t="s">
        <x:v>260</x:v>
      </x:c>
      <x:c r="E59" s="1" t="s">
        <x:v>261</x:v>
      </x:c>
      <x:c r="F59" t="s">
        <x:v>262</x:v>
      </x:c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>
      <x:c r="A60" s="1" t="s">
        <x:v>250</x:v>
      </x:c>
      <x:c r="B60" s="1"/>
      <x:c r="C60" s="1" t="s">
        <x:v>263</x:v>
      </x:c>
      <x:c r="D60" s="1" t="s">
        <x:v>264</x:v>
      </x:c>
      <x:c r="E60" s="1" t="s">
        <x:v>265</x:v>
      </x:c>
      <x:c r="F60" t="s">
        <x:v>266</x:v>
      </x:c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>
      <x:c r="A61" s="1" t="s">
        <x:v>250</x:v>
      </x:c>
      <x:c r="B61" s="1"/>
      <x:c r="C61" s="1" t="s">
        <x:v>267</x:v>
      </x:c>
      <x:c r="D61" s="1" t="s">
        <x:v>268</x:v>
      </x:c>
      <x:c r="E61" s="1" t="s">
        <x:v>269</x:v>
      </x:c>
      <x:c r="F61" t="s">
        <x:v>270</x:v>
      </x:c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>
      <x:c r="A62" s="1" t="s">
        <x:v>250</x:v>
      </x:c>
      <x:c r="B62" s="1"/>
      <x:c r="C62" s="1" t="s">
        <x:v>271</x:v>
      </x:c>
      <x:c r="D62" s="1" t="s">
        <x:v>272</x:v>
      </x:c>
      <x:c r="E62" s="1" t="s">
        <x:v>273</x:v>
      </x:c>
      <x:c r="F62" t="s">
        <x:v>274</x:v>
      </x:c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>
      <x:c r="A63" s="1" t="s">
        <x:v>250</x:v>
      </x:c>
      <x:c r="B63" s="1"/>
      <x:c r="C63" s="1" t="s">
        <x:v>275</x:v>
      </x:c>
      <x:c r="D63" s="1" t="s">
        <x:v>222</x:v>
      </x:c>
      <x:c r="E63" s="1" t="s">
        <x:v>276</x:v>
      </x:c>
      <x:c r="F63" t="s">
        <x:v>277</x:v>
      </x:c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>
      <x:c r="A64" s="1" t="s">
        <x:v>250</x:v>
      </x:c>
      <x:c r="B64" s="1"/>
      <x:c r="C64" s="1" t="s">
        <x:v>278</x:v>
      </x:c>
      <x:c r="D64" s="1" t="s">
        <x:v>279</x:v>
      </x:c>
      <x:c r="E64" s="1" t="s">
        <x:v>280</x:v>
      </x:c>
      <x:c r="F64" t="s">
        <x:v>281</x:v>
      </x:c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>
      <x:c r="A65" s="1" t="s">
        <x:v>250</x:v>
      </x:c>
      <x:c r="B65" s="1"/>
      <x:c r="C65" s="1" t="s">
        <x:v>282</x:v>
      </x:c>
      <x:c r="D65" s="1" t="s">
        <x:v>283</x:v>
      </x:c>
      <x:c r="E65" s="1" t="s">
        <x:v>284</x:v>
      </x:c>
      <x:c r="F65" t="s">
        <x:v>285</x:v>
      </x:c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>
      <x:c r="A66" s="1" t="s">
        <x:v>250</x:v>
      </x:c>
      <x:c r="B66" s="1"/>
      <x:c r="C66" s="1" t="s">
        <x:v>286</x:v>
      </x:c>
      <x:c r="D66" s="1" t="s">
        <x:v>49</x:v>
      </x:c>
      <x:c r="E66" s="1" t="s">
        <x:v>287</x:v>
      </x:c>
      <x:c r="F66" s="1" t="s">
        <x:v>288</x:v>
      </x:c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>
      <x:c r="A67" s="1" t="s">
        <x:v>250</x:v>
      </x:c>
      <x:c r="B67" s="1"/>
      <x:c r="C67" s="1" t="s">
        <x:v>289</x:v>
      </x:c>
      <x:c r="D67" s="1" t="s">
        <x:v>290</x:v>
      </x:c>
      <x:c r="E67" s="1" t="s">
        <x:v>291</x:v>
      </x:c>
      <x:c r="F67" t="s">
        <x:v>292</x:v>
      </x:c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>
      <x:c r="A68" s="1" t="s">
        <x:v>250</x:v>
      </x:c>
      <x:c r="B68" s="1"/>
      <x:c r="C68" s="1" t="s">
        <x:v>293</x:v>
      </x:c>
      <x:c r="D68" s="1" t="s">
        <x:v>163</x:v>
      </x:c>
      <x:c r="E68" s="1" t="s">
        <x:v>30</x:v>
      </x:c>
      <x:c r="F68" t="s">
        <x:v>294</x:v>
      </x:c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  <x:row r="69">
      <x:c r="A69" s="1" t="s">
        <x:v>250</x:v>
      </x:c>
      <x:c r="B69" s="1"/>
      <x:c r="C69" s="1" t="s">
        <x:v>295</x:v>
      </x:c>
      <x:c r="D69" s="1" t="s">
        <x:v>296</x:v>
      </x:c>
      <x:c r="E69" s="1" t="s">
        <x:v>297</x:v>
      </x:c>
      <x:c r="F69" s="1" t="s">
        <x:v>298</x:v>
      </x:c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</x:row>
    <x:row r="70">
      <x:c r="A70" s="1" t="s">
        <x:v>250</x:v>
      </x:c>
      <x:c r="B70" s="1"/>
      <x:c r="C70" s="1" t="s">
        <x:v>299</x:v>
      </x:c>
      <x:c r="D70" s="1" t="s">
        <x:v>300</x:v>
      </x:c>
      <x:c r="E70" s="1" t="s">
        <x:v>301</x:v>
      </x:c>
      <x:c r="F70" t="s">
        <x:v>302</x:v>
      </x:c>
      <x:c r="G70" s="1" t="s">
        <x:v>53</x:v>
      </x:c>
      <x:c r="H70" s="1" t="s">
        <x:v>303</x:v>
      </x:c>
      <x:c r="I70" s="1" t="s">
        <x:v>304</x:v>
      </x:c>
      <x:c r="J70" s="1"/>
      <x:c r="K70" s="1"/>
      <x:c r="L70" s="1"/>
      <x:c r="M70" s="1"/>
      <x:c r="N70" s="1"/>
      <x:c r="O70" s="1"/>
      <x:c r="P70" s="1"/>
      <x:c r="Q70" s="1"/>
      <x:c r="R70" s="1"/>
    </x:row>
    <x:row r="71">
      <x:c r="A71" s="1" t="s">
        <x:v>250</x:v>
      </x:c>
      <x:c r="B71" s="1"/>
      <x:c r="C71" s="1" t="s">
        <x:v>305</x:v>
      </x:c>
      <x:c r="D71" s="1" t="s">
        <x:v>306</x:v>
      </x:c>
      <x:c r="E71" s="1" t="s">
        <x:v>307</x:v>
      </x:c>
      <x:c r="F71" t="s">
        <x:v>308</x:v>
      </x:c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</x:row>
    <x:row r="72">
      <x:c r="A72" s="1" t="s">
        <x:v>250</x:v>
      </x:c>
      <x:c r="B72" s="1"/>
      <x:c r="C72" s="1" t="s">
        <x:v>309</x:v>
      </x:c>
      <x:c r="D72" s="1" t="s">
        <x:v>196</x:v>
      </x:c>
      <x:c r="E72" s="1" t="s">
        <x:v>310</x:v>
      </x:c>
      <x:c r="F72" s="1" t="s">
        <x:v>311</x:v>
      </x:c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</x:row>
    <x:row r="73">
      <x:c r="A73" s="1" t="s">
        <x:v>250</x:v>
      </x:c>
      <x:c r="B73" s="1"/>
      <x:c r="C73" s="1" t="s">
        <x:v>312</x:v>
      </x:c>
      <x:c r="D73" s="1" t="s">
        <x:v>313</x:v>
      </x:c>
      <x:c r="E73" s="1" t="s">
        <x:v>152</x:v>
      </x:c>
      <x:c r="F73" t="s">
        <x:v>314</x:v>
      </x:c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</x:row>
    <x:row r="74">
      <x:c r="A74" s="1" t="s">
        <x:v>250</x:v>
      </x:c>
      <x:c r="B74" s="1"/>
      <x:c r="C74" s="1" t="s">
        <x:v>315</x:v>
      </x:c>
      <x:c r="D74" s="1" t="s">
        <x:v>316</x:v>
      </x:c>
      <x:c r="E74" s="1" t="s">
        <x:v>317</x:v>
      </x:c>
      <x:c r="F74" t="s">
        <x:v>318</x:v>
      </x:c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</x:row>
    <x:row r="75">
      <x:c r="A75" s="1" t="s">
        <x:v>250</x:v>
      </x:c>
      <x:c r="B75" s="1"/>
      <x:c r="C75" s="1" t="s">
        <x:v>319</x:v>
      </x:c>
      <x:c r="D75" s="1" t="s">
        <x:v>320</x:v>
      </x:c>
      <x:c r="E75" s="1" t="s">
        <x:v>321</x:v>
      </x:c>
      <x:c r="F75" s="1" t="s">
        <x:v>322</x:v>
      </x:c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</x:row>
    <x:row r="76">
      <x:c r="A76" s="1" t="s">
        <x:v>250</x:v>
      </x:c>
      <x:c r="B76" s="1"/>
      <x:c r="C76" s="1" t="s">
        <x:v>323</x:v>
      </x:c>
      <x:c r="D76" s="1" t="s">
        <x:v>87</x:v>
      </x:c>
      <x:c r="E76" s="1" t="s">
        <x:v>324</x:v>
      </x:c>
      <x:c r="F76" t="s">
        <x:v>325</x:v>
      </x:c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</x:row>
    <x:row r="77">
      <x:c r="A77" s="1" t="s">
        <x:v>250</x:v>
      </x:c>
      <x:c r="B77" s="1"/>
      <x:c r="C77" s="1" t="s">
        <x:v>326</x:v>
      </x:c>
      <x:c r="D77" s="1" t="s">
        <x:v>327</x:v>
      </x:c>
      <x:c r="E77" s="1" t="s">
        <x:v>328</x:v>
      </x:c>
      <x:c r="F77" t="s">
        <x:v>329</x:v>
      </x:c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</x:row>
    <x:row r="78">
      <x:c r="A78" s="1" t="s">
        <x:v>250</x:v>
      </x:c>
      <x:c r="B78" s="1"/>
      <x:c r="C78" s="1" t="s">
        <x:v>330</x:v>
      </x:c>
      <x:c r="D78" s="1" t="s">
        <x:v>331</x:v>
      </x:c>
      <x:c r="E78" s="1" t="s">
        <x:v>332</x:v>
      </x:c>
      <x:c r="F78" t="s">
        <x:v>333</x:v>
      </x:c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</x:row>
    <x:row r="79">
      <x:c r="A79" s="1" t="s">
        <x:v>250</x:v>
      </x:c>
      <x:c r="B79" s="1"/>
      <x:c r="C79" s="1" t="s">
        <x:v>334</x:v>
      </x:c>
      <x:c r="D79" s="1" t="s">
        <x:v>335</x:v>
      </x:c>
      <x:c r="E79" s="1" t="s">
        <x:v>336</x:v>
      </x:c>
      <x:c r="F79" s="1" t="s">
        <x:v>337</x:v>
      </x:c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</x:row>
    <x:row r="80">
      <x:c r="A80" s="1" t="s">
        <x:v>250</x:v>
      </x:c>
      <x:c r="B80" s="1"/>
      <x:c r="C80" s="1" t="s">
        <x:v>338</x:v>
      </x:c>
      <x:c r="D80" s="1" t="s">
        <x:v>272</x:v>
      </x:c>
      <x:c r="E80" s="1" t="s">
        <x:v>339</x:v>
      </x:c>
      <x:c r="F80" s="1" t="s">
        <x:v>340</x:v>
      </x:c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</x:row>
    <x:row r="81">
      <x:c r="A81" s="1" t="s">
        <x:v>250</x:v>
      </x:c>
      <x:c r="B81" s="1"/>
      <x:c r="C81" s="1" t="s">
        <x:v>341</x:v>
      </x:c>
      <x:c r="D81" s="1" t="s">
        <x:v>342</x:v>
      </x:c>
      <x:c r="E81" s="1" t="s">
        <x:v>343</x:v>
      </x:c>
      <x:c r="F81" t="s">
        <x:v>344</x:v>
      </x:c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</x:row>
    <x:row r="82">
      <x:c r="A82" s="1" t="s">
        <x:v>345</x:v>
      </x:c>
      <x:c r="B82" s="1"/>
      <x:c r="C82" s="1" t="s">
        <x:v>346</x:v>
      </x:c>
      <x:c r="D82" s="1" t="s">
        <x:v>347</x:v>
      </x:c>
      <x:c r="E82" s="1" t="s">
        <x:v>348</x:v>
      </x:c>
      <x:c r="F82" t="s">
        <x:v>349</x:v>
      </x:c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</x:row>
    <x:row r="83">
      <x:c r="A83" s="1" t="s">
        <x:v>345</x:v>
      </x:c>
      <x:c r="B83" s="1"/>
      <x:c r="C83" s="1" t="s">
        <x:v>350</x:v>
      </x:c>
      <x:c r="D83" s="1" t="s">
        <x:v>351</x:v>
      </x:c>
      <x:c r="E83" s="1" t="s">
        <x:v>352</x:v>
      </x:c>
      <x:c r="F83" s="1" t="s">
        <x:v>353</x:v>
      </x:c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</x:row>
    <x:row r="84">
      <x:c r="A84" s="1" t="s">
        <x:v>345</x:v>
      </x:c>
      <x:c r="B84" s="1"/>
      <x:c r="C84" s="1" t="s">
        <x:v>354</x:v>
      </x:c>
      <x:c r="D84" s="1" t="s">
        <x:v>355</x:v>
      </x:c>
      <x:c r="E84" s="1" t="s">
        <x:v>356</x:v>
      </x:c>
      <x:c r="F84" t="s">
        <x:v>357</x:v>
      </x:c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</x:row>
    <x:row r="85">
      <x:c r="A85" s="1" t="s">
        <x:v>345</x:v>
      </x:c>
      <x:c r="B85" s="1"/>
      <x:c r="C85" s="1" t="s">
        <x:v>358</x:v>
      </x:c>
      <x:c r="D85" s="1" t="s">
        <x:v>359</x:v>
      </x:c>
      <x:c r="E85" s="1" t="s">
        <x:v>360</x:v>
      </x:c>
      <x:c r="F85" s="1" t="s">
        <x:v>361</x:v>
      </x:c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</x:row>
    <x:row r="86">
      <x:c r="A86" s="1" t="s">
        <x:v>345</x:v>
      </x:c>
      <x:c r="B86" s="1"/>
      <x:c r="C86" s="1" t="s">
        <x:v>362</x:v>
      </x:c>
      <x:c r="D86" s="1" t="s">
        <x:v>363</x:v>
      </x:c>
      <x:c r="E86" s="1" t="s">
        <x:v>364</x:v>
      </x:c>
      <x:c r="F86" t="s">
        <x:v>365</x:v>
      </x:c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</x:row>
    <x:row r="87">
      <x:c r="A87" s="1" t="s">
        <x:v>345</x:v>
      </x:c>
      <x:c r="B87" s="1"/>
      <x:c r="C87" s="1" t="s">
        <x:v>366</x:v>
      </x:c>
      <x:c r="D87" s="1" t="s">
        <x:v>347</x:v>
      </x:c>
      <x:c r="E87" s="1" t="s">
        <x:v>348</x:v>
      </x:c>
      <x:c r="F87" t="s">
        <x:v>349</x:v>
      </x:c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>
      <x:c r="A88" s="1" t="s">
        <x:v>345</x:v>
      </x:c>
      <x:c r="B88" s="1"/>
      <x:c r="C88" s="1" t="s">
        <x:v>367</x:v>
      </x:c>
      <x:c r="D88" s="1" t="s">
        <x:v>368</x:v>
      </x:c>
      <x:c r="E88" s="1" t="s">
        <x:v>369</x:v>
      </x:c>
      <x:c r="F88" t="s">
        <x:v>370</x:v>
      </x:c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>
      <x:c r="A89" s="1" t="s">
        <x:v>345</x:v>
      </x:c>
      <x:c r="B89" s="1"/>
      <x:c r="C89" s="1" t="s">
        <x:v>371</x:v>
      </x:c>
      <x:c r="D89" s="1" t="s">
        <x:v>372</x:v>
      </x:c>
      <x:c r="E89" s="1" t="s">
        <x:v>373</x:v>
      </x:c>
      <x:c r="F89" t="s">
        <x:v>374</x:v>
      </x:c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>
      <x:c r="A90" s="1" t="s">
        <x:v>345</x:v>
      </x:c>
      <x:c r="B90" s="1"/>
      <x:c r="C90" s="1" t="s">
        <x:v>375</x:v>
      </x:c>
      <x:c r="D90" s="1" t="s">
        <x:v>376</x:v>
      </x:c>
      <x:c r="E90" s="1" t="s">
        <x:v>377</x:v>
      </x:c>
      <x:c r="F90" t="s">
        <x:v>378</x:v>
      </x:c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  <x:row r="91">
      <x:c r="A91" s="1" t="s">
        <x:v>345</x:v>
      </x:c>
      <x:c r="B91" s="1"/>
      <x:c r="C91" s="1" t="s">
        <x:v>379</x:v>
      </x:c>
      <x:c r="D91" s="1" t="s">
        <x:v>380</x:v>
      </x:c>
      <x:c r="E91" s="1" t="s">
        <x:v>381</x:v>
      </x:c>
      <x:c r="F91" t="s">
        <x:v>382</x:v>
      </x:c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</x:row>
    <x:row r="92">
      <x:c r="A92" s="1" t="s">
        <x:v>345</x:v>
      </x:c>
      <x:c r="B92" s="1"/>
      <x:c r="C92" s="1" t="s">
        <x:v>383</x:v>
      </x:c>
      <x:c r="D92" s="1" t="s">
        <x:v>247</x:v>
      </x:c>
      <x:c r="E92" s="1" t="s">
        <x:v>248</x:v>
      </x:c>
      <x:c r="F92" t="s">
        <x:v>249</x:v>
      </x:c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</x:row>
    <x:row r="93">
      <x:c r="A93" s="1" t="s">
        <x:v>345</x:v>
      </x:c>
      <x:c r="B93" s="1"/>
      <x:c r="C93" s="1" t="s">
        <x:v>384</x:v>
      </x:c>
      <x:c r="D93" s="1" t="s">
        <x:v>192</x:v>
      </x:c>
      <x:c r="E93" s="1" t="s">
        <x:v>193</x:v>
      </x:c>
      <x:c r="F93" t="s">
        <x:v>194</x:v>
      </x:c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</x:row>
    <x:row r="94">
      <x:c r="A94" s="1" t="s">
        <x:v>345</x:v>
      </x:c>
      <x:c r="B94" s="1"/>
      <x:c r="C94" s="1" t="s">
        <x:v>385</x:v>
      </x:c>
      <x:c r="D94" s="1" t="s">
        <x:v>386</x:v>
      </x:c>
      <x:c r="E94" s="1" t="s">
        <x:v>387</x:v>
      </x:c>
      <x:c r="F94" t="s">
        <x:v>388</x:v>
      </x:c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</x:row>
    <x:row r="95">
      <x:c r="A95" s="1" t="s">
        <x:v>345</x:v>
      </x:c>
      <x:c r="B95" s="1"/>
      <x:c r="C95" s="1" t="s">
        <x:v>389</x:v>
      </x:c>
      <x:c r="D95" s="1" t="s">
        <x:v>390</x:v>
      </x:c>
      <x:c r="E95" s="1" t="s">
        <x:v>391</x:v>
      </x:c>
      <x:c r="F95" t="s">
        <x:v>392</x:v>
      </x:c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</x:row>
    <x:row r="96">
      <x:c r="A96" s="1" t="s">
        <x:v>345</x:v>
      </x:c>
      <x:c r="B96" s="1"/>
      <x:c r="C96" s="1" t="s">
        <x:v>393</x:v>
      </x:c>
      <x:c r="D96" s="1" t="s">
        <x:v>53</x:v>
      </x:c>
      <x:c r="E96" s="1" t="s">
        <x:v>54</x:v>
      </x:c>
      <x:c r="F96" s="1" t="s">
        <x:v>394</x:v>
      </x:c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</x:row>
  </x:sheetData>
  <x:hyperlinks>
    <x:hyperlink xmlns:r="http://schemas.openxmlformats.org/officeDocument/2006/relationships" ref="F4" r:id="R227b1e5e4b414341"/>
    <x:hyperlink xmlns:r="http://schemas.openxmlformats.org/officeDocument/2006/relationships" ref="F16" r:id="R13226afe01f24b74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31.33203125" customWidth="1"/>
    <x:col min="2" max="2" width="31.5" customWidth="1"/>
    <x:col min="3" max="3" width="16.5" customWidth="1"/>
    <x:col min="4" max="4" width="29.83203125" customWidth="1"/>
    <x:col min="5" max="5" width="11.83203125" customWidth="1"/>
  </x:cols>
  <x:sheetData>
    <x:row r="1">
      <x:c r="A1" t="s">
        <x:v>94</x:v>
      </x:c>
      <x:c r="B1" t="s">
        <x:v>95</x:v>
      </x:c>
      <x:c r="C1" t="s">
        <x:v>96</x:v>
      </x:c>
      <x:c r="D1" t="s">
        <x:v>97</x:v>
      </x:c>
      <x:c r="E1" t="s">
        <x:v>395</x:v>
      </x:c>
    </x:row>
    <x:row r="2">
      <x:c r="A2" t="s">
        <x:v>98</x:v>
      </x:c>
      <x:c r="B2" t="s">
        <x:v>73</x:v>
      </x:c>
      <x:c r="C2" t="s">
        <x:v>91</x:v>
      </x:c>
      <x:c r="D2" t="s">
        <x:v>99</x:v>
      </x:c>
      <x:c r="E2" t="s">
        <x:v>396</x:v>
      </x:c>
    </x:row>
    <x:row r="3">
      <x:c r="A3" t="s">
        <x:v>100</x:v>
      </x:c>
      <x:c r="B3" t="s">
        <x:v>101</x:v>
      </x:c>
      <x:c r="C3" t="s">
        <x:v>102</x:v>
      </x:c>
      <x:c r="D3" t="s">
        <x:v>103</x:v>
      </x:c>
      <x:c r="E3" t="s">
        <x:v>397</x:v>
      </x:c>
    </x:row>
    <x:row r="4">
      <x:c r="A4" t="s">
        <x:v>104</x:v>
      </x:c>
      <x:c r="B4" t="s">
        <x:v>105</x:v>
      </x:c>
      <x:c r="C4" t="s">
        <x:v>106</x:v>
      </x:c>
      <x:c r="D4" t="s">
        <x:v>107</x:v>
      </x:c>
      <x:c r="E4" t="s">
        <x:v>398</x:v>
      </x:c>
    </x:row>
    <x:row r="5">
      <x:c r="A5" t="s">
        <x:v>108</x:v>
      </x:c>
      <x:c r="B5" t="s">
        <x:v>41</x:v>
      </x:c>
      <x:c r="C5" t="s">
        <x:v>42</x:v>
      </x:c>
      <x:c r="D5" t="s">
        <x:v>109</x:v>
      </x:c>
      <x:c r="E5" t="s">
        <x:v>399</x:v>
      </x:c>
    </x:row>
    <x:row r="6">
      <x:c r="A6" t="s">
        <x:v>110</x:v>
      </x:c>
      <x:c r="B6" t="s">
        <x:v>25</x:v>
      </x:c>
      <x:c r="C6" t="s">
        <x:v>111</x:v>
      </x:c>
      <x:c r="D6" t="s">
        <x:v>112</x:v>
      </x:c>
      <x:c r="E6" t="s">
        <x:v>400</x:v>
      </x:c>
    </x:row>
    <x:row r="7">
      <x:c r="A7" t="s">
        <x:v>113</x:v>
      </x:c>
      <x:c r="B7" t="s">
        <x:v>114</x:v>
      </x:c>
      <x:c r="C7" t="s">
        <x:v>115</x:v>
      </x:c>
      <x:c r="D7" t="s">
        <x:v>116</x:v>
      </x:c>
      <x:c r="E7" t="s">
        <x:v>401</x:v>
      </x:c>
    </x:row>
    <x:row r="8">
      <x:c r="A8" t="s">
        <x:v>117</x:v>
      </x:c>
      <x:c r="B8" t="s">
        <x:v>118</x:v>
      </x:c>
      <x:c r="C8" t="s">
        <x:v>119</x:v>
      </x:c>
      <x:c r="D8" t="s">
        <x:v>120</x:v>
      </x:c>
      <x:c r="E8" t="s">
        <x:v>402</x:v>
      </x:c>
    </x:row>
    <x:row r="9">
      <x:c r="A9" t="s">
        <x:v>121</x:v>
      </x:c>
      <x:c r="B9" t="s">
        <x:v>41</x:v>
      </x:c>
      <x:c r="C9" t="s">
        <x:v>122</x:v>
      </x:c>
      <x:c r="D9" t="s">
        <x:v>123</x:v>
      </x:c>
      <x:c r="E9" t="s">
        <x:v>403</x:v>
      </x:c>
    </x:row>
    <x:row r="10">
      <x:c r="A10" t="s">
        <x:v>124</x:v>
      </x:c>
      <x:c r="B10" t="s">
        <x:v>125</x:v>
      </x:c>
      <x:c r="C10" t="s">
        <x:v>126</x:v>
      </x:c>
      <x:c r="D10" t="s">
        <x:v>127</x:v>
      </x:c>
      <x:c r="E10" t="s">
        <x:v>404</x:v>
      </x:c>
    </x:row>
    <x:row r="11">
      <x:c r="A11" t="s">
        <x:v>128</x:v>
      </x:c>
      <x:c r="B11" t="s">
        <x:v>49</x:v>
      </x:c>
      <x:c r="C11" t="s">
        <x:v>129</x:v>
      </x:c>
      <x:c r="D11" t="s">
        <x:v>130</x:v>
      </x:c>
      <x:c r="E11" t="s">
        <x:v>405</x:v>
      </x:c>
    </x:row>
    <x:row r="12">
      <x:c r="A12" t="s">
        <x:v>131</x:v>
      </x:c>
      <x:c r="B12" t="s">
        <x:v>132</x:v>
      </x:c>
      <x:c r="C12" t="s">
        <x:v>133</x:v>
      </x:c>
      <x:c r="D12" t="s">
        <x:v>134</x:v>
      </x:c>
      <x:c r="E12" t="s">
        <x:v>406</x:v>
      </x:c>
    </x:row>
    <x:row r="13">
      <x:c r="A13" t="s">
        <x:v>135</x:v>
      </x:c>
      <x:c r="B13" t="s">
        <x:v>65</x:v>
      </x:c>
      <x:c r="C13" t="s">
        <x:v>58</x:v>
      </x:c>
      <x:c r="D13" t="s">
        <x:v>136</x:v>
      </x:c>
      <x:c r="E13" t="s">
        <x:v>407</x:v>
      </x:c>
    </x:row>
    <x:row r="14">
      <x:c r="A14" t="s">
        <x:v>137</x:v>
      </x:c>
      <x:c r="B14" t="s">
        <x:v>138</x:v>
      </x:c>
      <x:c r="C14" t="s">
        <x:v>139</x:v>
      </x:c>
      <x:c r="D14" t="s">
        <x:v>140</x:v>
      </x:c>
      <x:c r="E14" t="s">
        <x:v>408</x:v>
      </x:c>
    </x:row>
    <x:row r="15">
      <x:c r="A15" t="s">
        <x:v>141</x:v>
      </x:c>
      <x:c r="B15" t="s">
        <x:v>53</x:v>
      </x:c>
      <x:c r="C15" t="s">
        <x:v>142</x:v>
      </x:c>
      <x:c r="D15" t="s">
        <x:v>143</x:v>
      </x:c>
      <x:c r="E15" t="s">
        <x:v>409</x:v>
      </x:c>
    </x:row>
    <x:row r="16">
      <x:c r="A16" t="s">
        <x:v>144</x:v>
      </x:c>
      <x:c r="B16" t="s">
        <x:v>145</x:v>
      </x:c>
      <x:c r="C16" t="s">
        <x:v>146</x:v>
      </x:c>
      <x:c r="D16" t="s">
        <x:v>147</x:v>
      </x:c>
      <x:c r="E16" t="s">
        <x:v>410</x:v>
      </x:c>
    </x:row>
    <x:row r="17">
      <x:c r="A17" t="s">
        <x:v>148</x:v>
      </x:c>
      <x:c r="B17" t="s">
        <x:v>105</x:v>
      </x:c>
      <x:c r="C17" t="s">
        <x:v>106</x:v>
      </x:c>
      <x:c r="D17" t="s">
        <x:v>107</x:v>
      </x:c>
      <x:c r="E17" t="s">
        <x:v>398</x:v>
      </x:c>
    </x:row>
    <x:row r="18">
      <x:c r="A18" t="s">
        <x:v>149</x:v>
      </x:c>
      <x:c r="B18" t="s">
        <x:v>132</x:v>
      </x:c>
      <x:c r="C18" t="s">
        <x:v>133</x:v>
      </x:c>
      <x:c r="D18" t="s">
        <x:v>134</x:v>
      </x:c>
      <x:c r="E18" t="s">
        <x:v>406</x:v>
      </x:c>
    </x:row>
    <x:row r="19">
      <x:c r="A19" t="s">
        <x:v>150</x:v>
      </x:c>
      <x:c r="B19" t="s">
        <x:v>151</x:v>
      </x:c>
      <x:c r="C19" t="s">
        <x:v>152</x:v>
      </x:c>
      <x:c r="D19" t="s">
        <x:v>153</x:v>
      </x:c>
      <x:c r="E19" t="s">
        <x:v>411</x:v>
      </x:c>
    </x:row>
    <x:row r="20">
      <x:c r="A20" t="s">
        <x:v>154</x:v>
      </x:c>
      <x:c r="B20" t="s">
        <x:v>57</x:v>
      </x:c>
      <x:c r="C20" t="s">
        <x:v>155</x:v>
      </x:c>
      <x:c r="D20" t="s">
        <x:v>156</x:v>
      </x:c>
      <x:c r="E20" t="s">
        <x:v>412</x:v>
      </x:c>
    </x:row>
    <x:row r="21">
      <x:c r="A21" t="s">
        <x:v>157</x:v>
      </x:c>
      <x:c r="B21" t="s">
        <x:v>125</x:v>
      </x:c>
      <x:c r="C21" t="s">
        <x:v>126</x:v>
      </x:c>
      <x:c r="D21" t="s">
        <x:v>127</x:v>
      </x:c>
      <x:c r="E21" t="s">
        <x:v>404</x:v>
      </x:c>
    </x:row>
    <x:row r="22">
      <x:c r="A22" t="s">
        <x:v>158</x:v>
      </x:c>
      <x:c r="B22" t="s">
        <x:v>159</x:v>
      </x:c>
      <x:c r="C22" t="s">
        <x:v>160</x:v>
      </x:c>
      <x:c r="D22" t="s">
        <x:v>161</x:v>
      </x:c>
      <x:c r="E22" t="s">
        <x:v>413</x:v>
      </x:c>
    </x:row>
    <x:row r="23">
      <x:c r="A23" t="s">
        <x:v>162</x:v>
      </x:c>
      <x:c r="B23" t="s">
        <x:v>163</x:v>
      </x:c>
      <x:c r="C23" t="s">
        <x:v>164</x:v>
      </x:c>
      <x:c r="D23" t="s">
        <x:v>165</x:v>
      </x:c>
      <x:c r="E23" t="s">
        <x:v>414</x:v>
      </x:c>
    </x:row>
    <x:row r="24">
      <x:c r="A24" t="s">
        <x:v>166</x:v>
      </x:c>
      <x:c r="B24" t="s">
        <x:v>167</x:v>
      </x:c>
      <x:c r="C24" t="s">
        <x:v>168</x:v>
      </x:c>
      <x:c r="D24" t="s">
        <x:v>169</x:v>
      </x:c>
      <x:c r="E24" t="s">
        <x:v>415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2" hidden="0" customWidth="1"/>
    <x:col min="5" max="5" width="18" hidden="0" customWidth="1"/>
    <x:col min="6" max="6" width="20" hidden="0" customWidth="1"/>
    <x:col min="7" max="7" width="32" hidden="0" customWidth="1"/>
    <x:col min="8" max="8" width="16" hidden="0" customWidth="1"/>
    <x:col min="9" max="9" width="12" hidden="0" customWidth="1"/>
    <x:col min="10" max="10" width="28" hidden="0" customWidth="1"/>
    <x:col min="11" max="11" width="32" hidden="0" customWidth="1"/>
    <x:col min="12" max="12" width="24" hidden="0" customWidth="1"/>
    <x:col min="13" max="13" width="18" hidden="0" customWidth="1"/>
    <x:col min="14" max="14" width="58" hidden="0" customWidth="1"/>
    <x:col min="15" max="15" width="38" hidden="0" customWidth="1"/>
  </x:cols>
  <x:sheetData>
    <x:row r="1" ht="30" customHeight="1">
      <x:c r="A1" s="5" t="str">
        <x:v>Referenti coerenti con territori e gruppi – Pace 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34" customHeight="1">
      <x:c r="A2" s="9" t="str">
        <x:v>Una riga per referente. Gli abbinamenti geografici, parziali o mancanti sono evidenziati per una verifica prima dell'importazione nell'app.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4" ht="32" customHeight="1">
      <x:c r="A4" s="13" t="str">
        <x:v>Paese</x:v>
      </x:c>
      <x:c r="B4" s="13" t="str">
        <x:v>Città</x:v>
      </x:c>
      <x:c r="C4" s="13" t="str">
        <x:v>Gruppo / area</x:v>
      </x:c>
      <x:c r="D4" s="13" t="str">
        <x:v>Tipo nodo</x:v>
      </x:c>
      <x:c r="E4" s="13" t="str">
        <x:v>Nome referente</x:v>
      </x:c>
      <x:c r="F4" s="13" t="str">
        <x:v>Cognome referente</x:v>
      </x:c>
      <x:c r="G4" s="13" t="str">
        <x:v>Email</x:v>
      </x:c>
      <x:c r="H4" s="13" t="str">
        <x:v>Telefono</x:v>
      </x:c>
      <x:c r="I4" s="13" t="str">
        <x:v>Ordine nella fonte</x:v>
      </x:c>
      <x:c r="J4" s="13" t="str">
        <x:v>Stato abbinamento</x:v>
      </x:c>
      <x:c r="K4" s="13" t="str">
        <x:v>Gruppo origine</x:v>
      </x:c>
      <x:c r="L4" s="13" t="str">
        <x:v>Raggruppamento origine</x:v>
      </x:c>
      <x:c r="M4" s="13" t="str">
        <x:v>Zona origine</x:v>
      </x:c>
      <x:c r="N4" s="13" t="str">
        <x:v>Note</x:v>
      </x:c>
      <x:c r="O4" s="13" t="str">
        <x:v>ID gruppo app</x:v>
      </x:c>
    </x:row>
    <x:row r="5">
      <x:c r="A5" s="15" t="str">
        <x:v>Austria</x:v>
      </x:c>
      <x:c r="B5" s="15" t="str"/>
      <x:c r="C5" s="15" t="str"/>
      <x:c r="D5" s="15" t="str">
        <x:v>country</x:v>
      </x:c>
      <x:c r="E5" s="15" t="str">
        <x:v>Ursel</x:v>
      </x:c>
      <x:c r="F5" s="15" t="str">
        <x:v>Kalb</x:v>
      </x:c>
      <x:c r="G5" s="15" t="str">
        <x:v>u.kalb@gmx.de</x:v>
      </x:c>
      <x:c r="H5" s="15" t="str"/>
      <x:c r="I5" s="15" t="n">
        <x:v>1</x:v>
      </x:c>
      <x:c r="J5" s="15" t="str">
        <x:v>Esatto</x:v>
      </x:c>
      <x:c r="K5" s="15" t="str">
        <x:v>Austria</x:v>
      </x:c>
      <x:c r="L5" s="15" t="str"/>
      <x:c r="M5" s="15" t="str">
        <x:v>ALTRI paesi</x:v>
      </x:c>
      <x:c r="N5" s="16" t="str">
        <x:v>Referente collegato al nodo paese.</x:v>
      </x:c>
      <x:c r="O5" s="15" t="str">
        <x:v>e3788d37-0b70-43fd-b517-d4aeddafd5ce</x:v>
      </x:c>
    </x:row>
    <x:row r="6">
      <x:c r="A6" s="15" t="str">
        <x:v>Belgio</x:v>
      </x:c>
      <x:c r="B6" s="15" t="str"/>
      <x:c r="C6" s="15" t="str"/>
      <x:c r="D6" s="15" t="str">
        <x:v>country</x:v>
      </x:c>
      <x:c r="E6" s="15" t="str">
        <x:v>Johan</x:v>
      </x:c>
      <x:c r="F6" s="15" t="str">
        <x:v>Beuckelaers</x:v>
      </x:c>
      <x:c r="G6" s="15" t="str">
        <x:v>johan.beuckelaers@santegidio.be</x:v>
      </x:c>
      <x:c r="H6" s="15" t="str"/>
      <x:c r="I6" s="15" t="n">
        <x:v>1</x:v>
      </x:c>
      <x:c r="J6" s="15" t="str">
        <x:v>Parziale – verificare</x:v>
      </x:c>
      <x:c r="K6" s="15" t="str">
        <x:v>Belgio Paesi Bassi</x:v>
      </x:c>
      <x:c r="L6" s="15" t="str"/>
      <x:c r="M6" s="15" t="str">
        <x:v>ALTRI paesi</x:v>
      </x:c>
      <x:c r="N6" s="16" t="str">
        <x:v>Il gruppo origine comprende anche i Paesi Bassi, non presenti nel catalogo dell'app.</x:v>
      </x:c>
      <x:c r="O6" s="15" t="str">
        <x:v>4867416a-2e3b-476b-82bf-f3a98bf5b9d9</x:v>
      </x:c>
    </x:row>
    <x:row r="7">
      <x:c r="A7" s="15" t="str">
        <x:v>Francia</x:v>
      </x:c>
      <x:c r="B7" s="15" t="str"/>
      <x:c r="C7" s="15" t="str"/>
      <x:c r="D7" s="15" t="str">
        <x:v>country</x:v>
      </x:c>
      <x:c r="E7" s="15" t="str">
        <x:v>Nicolas</x:v>
      </x:c>
      <x:c r="F7" s="15" t="str">
        <x:v>Bassy</x:v>
      </x:c>
      <x:c r="G7" s="15" t="str">
        <x:v>bassynicolas@gmail.com</x:v>
      </x:c>
      <x:c r="H7" s="15" t="str"/>
      <x:c r="I7" s="15" t="n">
        <x:v>1</x:v>
      </x:c>
      <x:c r="J7" s="15" t="str">
        <x:v>Esatto</x:v>
      </x:c>
      <x:c r="K7" s="15" t="str">
        <x:v>Francia</x:v>
      </x:c>
      <x:c r="L7" s="15" t="str"/>
      <x:c r="M7" s="15" t="str">
        <x:v>ALTRI paesi</x:v>
      </x:c>
      <x:c r="N7" s="16" t="str">
        <x:v>Referente collegato al nodo paese.</x:v>
      </x:c>
      <x:c r="O7" s="15" t="str">
        <x:v>c6a8d22a-3c77-4a66-88e3-a457c6a71ee1</x:v>
      </x:c>
    </x:row>
    <x:row r="8">
      <x:c r="A8" s="15" t="str">
        <x:v>Germania</x:v>
      </x:c>
      <x:c r="B8" s="15" t="str"/>
      <x:c r="C8" s="15" t="str"/>
      <x:c r="D8" s="15" t="str">
        <x:v>country</x:v>
      </x:c>
      <x:c r="E8" s="15" t="str">
        <x:v>Ursel</x:v>
      </x:c>
      <x:c r="F8" s="15" t="str">
        <x:v>Kalb</x:v>
      </x:c>
      <x:c r="G8" s="15" t="str">
        <x:v>u.kalb@gmx.de</x:v>
      </x:c>
      <x:c r="H8" s="15" t="str"/>
      <x:c r="I8" s="15" t="n">
        <x:v>1</x:v>
      </x:c>
      <x:c r="J8" s="15" t="str">
        <x:v>Esatto</x:v>
      </x:c>
      <x:c r="K8" s="15" t="str">
        <x:v>Germania</x:v>
      </x:c>
      <x:c r="L8" s="15" t="str"/>
      <x:c r="M8" s="15" t="str">
        <x:v>ALTRI paesi</x:v>
      </x:c>
      <x:c r="N8" s="16" t="str">
        <x:v>Referente collegato al nodo paese.</x:v>
      </x:c>
      <x:c r="O8" s="15" t="str">
        <x:v>3a52f55e-3929-4f18-af23-fae9c7eba69a</x:v>
      </x:c>
    </x:row>
    <x:row r="9">
      <x:c r="A9" s="15" t="str">
        <x:v>Polonia</x:v>
      </x:c>
      <x:c r="B9" s="15" t="str"/>
      <x:c r="C9" s="15" t="str"/>
      <x:c r="D9" s="15" t="str">
        <x:v>country</x:v>
      </x:c>
      <x:c r="E9" s="15" t="str">
        <x:v>Massimiliano</x:v>
      </x:c>
      <x:c r="F9" s="15" t="str">
        <x:v>Signifredi</x:v>
      </x:c>
      <x:c r="G9" s="15" t="str">
        <x:v>msignifredi@gmail.com</x:v>
      </x:c>
      <x:c r="H9" s="15" t="str"/>
      <x:c r="I9" s="15" t="n">
        <x:v>1</x:v>
      </x:c>
      <x:c r="J9" s="15" t="str">
        <x:v>Esatto</x:v>
      </x:c>
      <x:c r="K9" s="15" t="str">
        <x:v>Polonia</x:v>
      </x:c>
      <x:c r="L9" s="15" t="str"/>
      <x:c r="M9" s="15" t="str">
        <x:v>ALTRI paesi</x:v>
      </x:c>
      <x:c r="N9" s="16" t="str">
        <x:v>Referente collegato al nodo paese.</x:v>
      </x:c>
      <x:c r="O9" s="15" t="str">
        <x:v>6bff2461-d252-4e6d-8054-635c6cfca841</x:v>
      </x:c>
    </x:row>
    <x:row r="10">
      <x:c r="A10" s="15" t="str">
        <x:v>Portogallo</x:v>
      </x:c>
      <x:c r="B10" s="15" t="str"/>
      <x:c r="C10" s="15" t="str"/>
      <x:c r="D10" s="15" t="str">
        <x:v>country</x:v>
      </x:c>
      <x:c r="E10" s="15" t="str">
        <x:v>Daniela</x:v>
      </x:c>
      <x:c r="F10" s="15" t="str">
        <x:v>Moretti</x:v>
      </x:c>
      <x:c r="G10" s="15" t="str">
        <x:v>morettidaniela@hotmail.com</x:v>
      </x:c>
      <x:c r="H10" s="15" t="str"/>
      <x:c r="I10" s="15" t="n">
        <x:v>1</x:v>
      </x:c>
      <x:c r="J10" s="15" t="str">
        <x:v>Esatto</x:v>
      </x:c>
      <x:c r="K10" s="15" t="str">
        <x:v>Portogallo</x:v>
      </x:c>
      <x:c r="L10" s="15" t="str"/>
      <x:c r="M10" s="15" t="str">
        <x:v>ALTRI paesi</x:v>
      </x:c>
      <x:c r="N10" s="16" t="str">
        <x:v>Referente collegato al nodo paese.</x:v>
      </x:c>
      <x:c r="O10" s="15" t="str">
        <x:v>cffe0eae-215f-42e9-b1d7-d99ac0e8e771</x:v>
      </x:c>
    </x:row>
    <x:row r="11">
      <x:c r="A11" s="15" t="str">
        <x:v>Ungheria</x:v>
      </x:c>
      <x:c r="B11" s="15" t="str"/>
      <x:c r="C11" s="15" t="str"/>
      <x:c r="D11" s="15" t="str">
        <x:v>country</x:v>
      </x:c>
      <x:c r="E11" s="15" t="str">
        <x:v>Teresa</x:v>
      </x:c>
      <x:c r="F11" s="15" t="str">
        <x:v>Di Renzi</x:v>
      </x:c>
      <x:c r="G11" s="15" t="str">
        <x:v>teresadirenzi@gmail.com</x:v>
      </x:c>
      <x:c r="H11" s="15" t="str"/>
      <x:c r="I11" s="15" t="n">
        <x:v>1</x:v>
      </x:c>
      <x:c r="J11" s="15" t="str">
        <x:v>Esatto</x:v>
      </x:c>
      <x:c r="K11" s="15" t="str">
        <x:v>Ungheria</x:v>
      </x:c>
      <x:c r="L11" s="15" t="str"/>
      <x:c r="M11" s="15" t="str">
        <x:v>ALTRI paesi</x:v>
      </x:c>
      <x:c r="N11" s="16" t="str">
        <x:v>Referente collegato al nodo paese.</x:v>
      </x:c>
      <x:c r="O11" s="15" t="str">
        <x:v>c8fc4e58-5f4c-49f5-8485-a1739c5d706f</x:v>
      </x:c>
    </x:row>
    <x:row r="12">
      <x:c r="A12" s="15" t="str">
        <x:v>Italia</x:v>
      </x:c>
      <x:c r="B12" s="15" t="str">
        <x:v>Bologna</x:v>
      </x:c>
      <x:c r="C12" s="15" t="str"/>
      <x:c r="D12" s="15" t="str">
        <x:v>city</x:v>
      </x:c>
      <x:c r="E12" s="15" t="str">
        <x:v>Simona</x:v>
      </x:c>
      <x:c r="F12" s="15" t="str">
        <x:v>Cocina</x:v>
      </x:c>
      <x:c r="G12" s="15" t="str">
        <x:v>simona.cocina@gmail.com</x:v>
      </x:c>
      <x:c r="H12" s="15" t="str"/>
      <x:c r="I12" s="15" t="n">
        <x:v>1</x:v>
      </x:c>
      <x:c r="J12" s="15" t="str">
        <x:v>Esatto</x:v>
      </x:c>
      <x:c r="K12" s="15" t="str">
        <x:v>BOLOGNA</x:v>
      </x:c>
      <x:c r="L12" s="15" t="str"/>
      <x:c r="M12" s="15" t="str">
        <x:v>ITALIA - eccetto Roma</x:v>
      </x:c>
      <x:c r="N12" s="16" t="str"/>
      <x:c r="O12" s="15" t="str">
        <x:v>a7781b15-ccf9-4dc1-99b4-46a20b006b71</x:v>
      </x:c>
    </x:row>
    <x:row r="13">
      <x:c r="A13" s="15" t="str">
        <x:v>Italia</x:v>
      </x:c>
      <x:c r="B13" s="15" t="str">
        <x:v>Catania</x:v>
      </x:c>
      <x:c r="C13" s="15" t="str"/>
      <x:c r="D13" s="15" t="str">
        <x:v>city</x:v>
      </x:c>
      <x:c r="E13" s="15" t="str">
        <x:v>Walter</x:v>
      </x:c>
      <x:c r="F13" s="15" t="str">
        <x:v>Cerreti</x:v>
      </x:c>
      <x:c r="G13" s="15" t="str">
        <x:v>walter.cerreti@santegidio.sicilia.it</x:v>
      </x:c>
      <x:c r="H13" s="15" t="str"/>
      <x:c r="I13" s="15" t="n">
        <x:v>1</x:v>
      </x:c>
      <x:c r="J13" s="15" t="str">
        <x:v>Esatto</x:v>
      </x:c>
      <x:c r="K13" s="15" t="str">
        <x:v>CATANIA</x:v>
      </x:c>
      <x:c r="L13" s="15" t="str"/>
      <x:c r="M13" s="15" t="str">
        <x:v>ITALIA - eccetto Roma</x:v>
      </x:c>
      <x:c r="N13" s="16" t="str"/>
      <x:c r="O13" s="15" t="str">
        <x:v>31b69675-38a8-4984-8574-00deb6f2b4d7</x:v>
      </x:c>
    </x:row>
    <x:row r="14">
      <x:c r="A14" s="15" t="str">
        <x:v>Italia</x:v>
      </x:c>
      <x:c r="B14" s="15" t="str">
        <x:v>Foggia</x:v>
      </x:c>
      <x:c r="C14" s="15" t="str"/>
      <x:c r="D14" s="15" t="str">
        <x:v>city</x:v>
      </x:c>
      <x:c r="E14" s="15" t="str">
        <x:v>Corrado</x:v>
      </x:c>
      <x:c r="F14" s="15" t="str">
        <x:v>Petrachi</x:v>
      </x:c>
      <x:c r="G14" s="15" t="str">
        <x:v>petrachi.c@gmail.com</x:v>
      </x:c>
      <x:c r="H14" s="15" t="str"/>
      <x:c r="I14" s="15" t="n">
        <x:v>1</x:v>
      </x:c>
      <x:c r="J14" s="15" t="str">
        <x:v>Parziale – verificare</x:v>
      </x:c>
      <x:c r="K14" s="15" t="str">
        <x:v>BARI/laterza/ lecce / brindisi/foggia</x:v>
      </x:c>
      <x:c r="L14" s="15" t="str"/>
      <x:c r="M14" s="15" t="str">
        <x:v>ITALIA - eccetto Roma</x:v>
      </x:c>
      <x:c r="N14" s="16" t="str">
        <x:v>Il gruppo origine comprende più città; nell'app è presente Foggia.</x:v>
      </x:c>
      <x:c r="O14" s="15" t="str">
        <x:v>4c5fbb46-e3e8-4ed9-9304-62939e4cfdd0</x:v>
      </x:c>
    </x:row>
    <x:row r="15">
      <x:c r="A15" s="15" t="str">
        <x:v>Italia</x:v>
      </x:c>
      <x:c r="B15" s="15" t="str">
        <x:v>Frosinone</x:v>
      </x:c>
      <x:c r="C15" s="15" t="str"/>
      <x:c r="D15" s="15" t="str">
        <x:v>city</x:v>
      </x:c>
      <x:c r="E15" s="15" t="str">
        <x:v>Loredana</x:v>
      </x:c>
      <x:c r="F15" s="15" t="str">
        <x:v>Piazzai</x:v>
      </x:c>
      <x:c r="G15" s="15" t="str">
        <x:v>piazzailoredana@gmail.com</x:v>
      </x:c>
      <x:c r="H15" s="15" t="str"/>
      <x:c r="I15" s="15" t="n">
        <x:v>1</x:v>
      </x:c>
      <x:c r="J15" s="15" t="str">
        <x:v>Esatto</x:v>
      </x:c>
      <x:c r="K15" s="15" t="str">
        <x:v>FROSINONE</x:v>
      </x:c>
      <x:c r="L15" s="15" t="str"/>
      <x:c r="M15" s="15" t="str">
        <x:v>ITALIA - eccetto Roma</x:v>
      </x:c>
      <x:c r="N15" s="16" t="str"/>
      <x:c r="O15" s="15" t="str">
        <x:v>6c58f64d-05e2-433f-bfa8-1377800b6424</x:v>
      </x:c>
    </x:row>
    <x:row r="16">
      <x:c r="A16" s="15" t="str">
        <x:v>Italia</x:v>
      </x:c>
      <x:c r="B16" s="15" t="str">
        <x:v>Lucca</x:v>
      </x:c>
      <x:c r="C16" s="15" t="str"/>
      <x:c r="D16" s="15" t="str">
        <x:v>city</x:v>
      </x:c>
      <x:c r="E16" s="15" t="str">
        <x:v>Eleonora</x:v>
      </x:c>
      <x:c r="F16" s="15" t="str">
        <x:v>Colonnata</x:v>
      </x:c>
      <x:c r="G16" s="15" t="str">
        <x:v>eleonoracolonnata@gmail.com</x:v>
      </x:c>
      <x:c r="H16" s="15" t="str"/>
      <x:c r="I16" s="15" t="n">
        <x:v>1</x:v>
      </x:c>
      <x:c r="J16" s="15" t="str">
        <x:v>Esatto</x:v>
      </x:c>
      <x:c r="K16" s="15" t="str">
        <x:v>LUCCA</x:v>
      </x:c>
      <x:c r="L16" s="15" t="str"/>
      <x:c r="M16" s="15" t="str">
        <x:v>ITALIA - eccetto Roma</x:v>
      </x:c>
      <x:c r="N16" s="16" t="str"/>
      <x:c r="O16" s="15" t="str">
        <x:v>aa825a79-e991-4d32-82cb-7d6cd35add34</x:v>
      </x:c>
    </x:row>
    <x:row r="17">
      <x:c r="A17" s="15" t="str">
        <x:v>Italia</x:v>
      </x:c>
      <x:c r="B17" s="15" t="str">
        <x:v>Messina</x:v>
      </x:c>
      <x:c r="C17" s="15" t="str"/>
      <x:c r="D17" s="15" t="str">
        <x:v>city</x:v>
      </x:c>
      <x:c r="E17" s="15" t="str">
        <x:v>Andrea</x:v>
      </x:c>
      <x:c r="F17" s="15" t="str">
        <x:v>Nucita</x:v>
      </x:c>
      <x:c r="G17" s="15" t="str">
        <x:v>a.nucita@gmail.com</x:v>
      </x:c>
      <x:c r="H17" s="15" t="str"/>
      <x:c r="I17" s="15" t="n">
        <x:v>1</x:v>
      </x:c>
      <x:c r="J17" s="15" t="str">
        <x:v>Esatto</x:v>
      </x:c>
      <x:c r="K17" s="15" t="str">
        <x:v>MESSINA</x:v>
      </x:c>
      <x:c r="L17" s="15" t="str"/>
      <x:c r="M17" s="15" t="str">
        <x:v>ITALIA - eccetto Roma</x:v>
      </x:c>
      <x:c r="N17" s="16" t="str"/>
      <x:c r="O17" s="15" t="str">
        <x:v>a00405b7-d4eb-4d42-8c4f-9e917f5a3c10</x:v>
      </x:c>
    </x:row>
    <x:row r="18">
      <x:c r="A18" s="15" t="str">
        <x:v>Italia</x:v>
      </x:c>
      <x:c r="B18" s="15" t="str">
        <x:v>Milano</x:v>
      </x:c>
      <x:c r="C18" s="15" t="str"/>
      <x:c r="D18" s="15" t="str">
        <x:v>city</x:v>
      </x:c>
      <x:c r="E18" s="15" t="str">
        <x:v>Silvia Maria</x:v>
      </x:c>
      <x:c r="F18" s="15" t="str">
        <x:v>Bordoni</x:v>
      </x:c>
      <x:c r="G18" s="15" t="str">
        <x:v>silviamaria.bordoni@gmail.com</x:v>
      </x:c>
      <x:c r="H18" s="15" t="str"/>
      <x:c r="I18" s="15" t="n">
        <x:v>1</x:v>
      </x:c>
      <x:c r="J18" s="15" t="str">
        <x:v>Esatto</x:v>
      </x:c>
      <x:c r="K18" s="15" t="str">
        <x:v>MILANO</x:v>
      </x:c>
      <x:c r="L18" s="15" t="str"/>
      <x:c r="M18" s="15" t="str">
        <x:v>ITALIA - eccetto Roma</x:v>
      </x:c>
      <x:c r="N18" s="16" t="str"/>
      <x:c r="O18" s="15" t="str">
        <x:v>612a6805-0ab5-4f58-b58c-26b26ed66e4c</x:v>
      </x:c>
    </x:row>
    <x:row r="19">
      <x:c r="A19" s="15" t="str">
        <x:v>Italia</x:v>
      </x:c>
      <x:c r="B19" s="15" t="str">
        <x:v>Napoli</x:v>
      </x:c>
      <x:c r="C19" s="15" t="str"/>
      <x:c r="D19" s="15" t="str">
        <x:v>city</x:v>
      </x:c>
      <x:c r="E19" s="15" t="str">
        <x:v>Gabriella</x:v>
      </x:c>
      <x:c r="F19" s="15" t="str">
        <x:v>Pugliese</x:v>
      </x:c>
      <x:c r="G19" s="15" t="str">
        <x:v>mariagabriella.pugliese@na.infn.it</x:v>
      </x:c>
      <x:c r="H19" s="15" t="str"/>
      <x:c r="I19" s="15" t="n">
        <x:v>1</x:v>
      </x:c>
      <x:c r="J19" s="15" t="str">
        <x:v>Parziale – verificare</x:v>
      </x:c>
      <x:c r="K19" s="15" t="str">
        <x:v>NAPOLI ISERNIA</x:v>
      </x:c>
      <x:c r="L19" s="15" t="str"/>
      <x:c r="M19" s="15" t="str">
        <x:v>ITALIA - eccetto Roma</x:v>
      </x:c>
      <x:c r="N19" s="16" t="str">
        <x:v>Il gruppo origine comprende Napoli e Isernia; nell'app è presente Napoli.</x:v>
      </x:c>
      <x:c r="O19" s="15" t="str">
        <x:v>a8a3c44d-e94b-4e08-88b4-fdc6b64d242c</x:v>
      </x:c>
    </x:row>
    <x:row r="20">
      <x:c r="A20" s="15" t="str">
        <x:v>Italia</x:v>
      </x:c>
      <x:c r="B20" s="15" t="str">
        <x:v>Novara</x:v>
      </x:c>
      <x:c r="C20" s="15" t="str"/>
      <x:c r="D20" s="15" t="str">
        <x:v>city</x:v>
      </x:c>
      <x:c r="E20" s="15" t="str">
        <x:v>Piergiacomo</x:v>
      </x:c>
      <x:c r="F20" s="15" t="str">
        <x:v>Baroni</x:v>
      </x:c>
      <x:c r="G20" s="15" t="str">
        <x:v>pierbaroni@gmail.com</x:v>
      </x:c>
      <x:c r="H20" s="15" t="str"/>
      <x:c r="I20" s="15" t="n">
        <x:v>1</x:v>
      </x:c>
      <x:c r="J20" s="15" t="str">
        <x:v>Esatto</x:v>
      </x:c>
      <x:c r="K20" s="15" t="str">
        <x:v>NOVARA</x:v>
      </x:c>
      <x:c r="L20" s="15" t="str"/>
      <x:c r="M20" s="15" t="str">
        <x:v>ITALIA - eccetto Roma</x:v>
      </x:c>
      <x:c r="N20" s="16" t="str"/>
      <x:c r="O20" s="15" t="str">
        <x:v>2165a289-2c1b-4683-83bb-7be256b6d59f</x:v>
      </x:c>
    </x:row>
    <x:row r="21">
      <x:c r="A21" s="15" t="str">
        <x:v>Italia</x:v>
      </x:c>
      <x:c r="B21" s="15" t="str">
        <x:v>Torino</x:v>
      </x:c>
      <x:c r="C21" s="15" t="str"/>
      <x:c r="D21" s="15" t="str">
        <x:v>city</x:v>
      </x:c>
      <x:c r="E21" s="15" t="str">
        <x:v>Elisa</x:v>
      </x:c>
      <x:c r="F21" s="15" t="str">
        <x:v>Ferrero</x:v>
      </x:c>
      <x:c r="G21" s="15" t="str">
        <x:v>ferrero.elisa74@gmail.com</x:v>
      </x:c>
      <x:c r="H21" s="15" t="str"/>
      <x:c r="I21" s="15" t="n">
        <x:v>1</x:v>
      </x:c>
      <x:c r="J21" s="15" t="str">
        <x:v>Esatto</x:v>
      </x:c>
      <x:c r="K21" s="15" t="str">
        <x:v>TORINO</x:v>
      </x:c>
      <x:c r="L21" s="15" t="str"/>
      <x:c r="M21" s="15" t="str">
        <x:v>ITALIA - eccetto Roma</x:v>
      </x:c>
      <x:c r="N21" s="16" t="str"/>
      <x:c r="O21" s="15" t="str">
        <x:v>688c3fa7-c604-46c7-90a4-d1be9274c07d</x:v>
      </x:c>
    </x:row>
    <x:row r="22">
      <x:c r="A22" s="15" t="str">
        <x:v>Italia</x:v>
      </x:c>
      <x:c r="B22" s="15" t="str">
        <x:v>Trieste</x:v>
      </x:c>
      <x:c r="C22" s="15" t="str"/>
      <x:c r="D22" s="15" t="str">
        <x:v>city</x:v>
      </x:c>
      <x:c r="E22" s="15" t="str">
        <x:v>Loredana</x:v>
      </x:c>
      <x:c r="F22" s="15" t="str">
        <x:v>Catalfamo</x:v>
      </x:c>
      <x:c r="G22" s="15" t="str">
        <x:v>loredana.catalfamo48@gmail.com</x:v>
      </x:c>
      <x:c r="H22" s="15" t="str"/>
      <x:c r="I22" s="15" t="n">
        <x:v>1</x:v>
      </x:c>
      <x:c r="J22" s="15" t="str">
        <x:v>Esatto</x:v>
      </x:c>
      <x:c r="K22" s="15" t="str">
        <x:v>TRIESTE</x:v>
      </x:c>
      <x:c r="L22" s="15" t="str"/>
      <x:c r="M22" s="15" t="str">
        <x:v>ITALIA - eccetto Roma</x:v>
      </x:c>
      <x:c r="N22" s="16" t="str"/>
      <x:c r="O22" s="15" t="str">
        <x:v>80ee2a68-390f-42f7-8182-b017c2f5862e</x:v>
      </x:c>
    </x:row>
    <x:row r="23">
      <x:c r="A23" s="15" t="str">
        <x:v>Spagna</x:v>
      </x:c>
      <x:c r="B23" s="15" t="str">
        <x:v>Barcelona</x:v>
      </x:c>
      <x:c r="C23" s="15" t="str"/>
      <x:c r="D23" s="15" t="str">
        <x:v>city</x:v>
      </x:c>
      <x:c r="E23" s="15" t="str">
        <x:v>GLORIA</x:v>
      </x:c>
      <x:c r="F23" s="15" t="str">
        <x:v>ABAD</x:v>
      </x:c>
      <x:c r="G23" s="15" t="str">
        <x:v>gabadserra@gmail.com</x:v>
      </x:c>
      <x:c r="H23" s="15" t="str"/>
      <x:c r="I23" s="15" t="n">
        <x:v>1</x:v>
      </x:c>
      <x:c r="J23" s="15" t="str">
        <x:v>Compatibile (nome equivalente)</x:v>
      </x:c>
      <x:c r="K23" s="15" t="str">
        <x:v>Barcellona</x:v>
      </x:c>
      <x:c r="L23" s="15" t="str"/>
      <x:c r="M23" s="15" t="str">
        <x:v>ALTRI paesi</x:v>
      </x:c>
      <x:c r="N23" s="16" t="str">
        <x:v>Denominazione italiana ricondotta al nome della città nell'app.</x:v>
      </x:c>
      <x:c r="O23" s="15" t="str">
        <x:v>0b4cf274-1bea-403b-a5bf-7c5a3999eea8</x:v>
      </x:c>
    </x:row>
    <x:row r="24">
      <x:c r="A24" s="15" t="str">
        <x:v>Spagna</x:v>
      </x:c>
      <x:c r="B24" s="15" t="str">
        <x:v>Madrid</x:v>
      </x:c>
      <x:c r="C24" s="15" t="str"/>
      <x:c r="D24" s="15" t="str">
        <x:v>city</x:v>
      </x:c>
      <x:c r="E24" s="15" t="str">
        <x:v>Tiscar</x:v>
      </x:c>
      <x:c r="F24" s="15" t="str">
        <x:v>Espigares</x:v>
      </x:c>
      <x:c r="G24" s="15" t="str">
        <x:v>tiscar@pm.me</x:v>
      </x:c>
      <x:c r="H24" s="15" t="str"/>
      <x:c r="I24" s="15" t="n">
        <x:v>1</x:v>
      </x:c>
      <x:c r="J24" s="15" t="str">
        <x:v>Esatto</x:v>
      </x:c>
      <x:c r="K24" s="15" t="str">
        <x:v>Madrid</x:v>
      </x:c>
      <x:c r="L24" s="15" t="str"/>
      <x:c r="M24" s="15" t="str">
        <x:v>ALTRI paesi</x:v>
      </x:c>
      <x:c r="N24" s="16" t="str"/>
      <x:c r="O24" s="15" t="str">
        <x:v>70eb2b82-f306-40b9-94c8-21788b17debf</x:v>
      </x:c>
    </x:row>
    <x:row r="25">
      <x:c r="A25" s="15" t="str">
        <x:v>Italia</x:v>
      </x:c>
      <x:c r="B25" s="15" t="str">
        <x:v>Roma</x:v>
      </x:c>
      <x:c r="C25" s="15" t="str">
        <x:v>Movimento de Gli amici</x:v>
      </x:c>
      <x:c r="D25" s="15" t="str">
        <x:v>area</x:v>
      </x:c>
      <x:c r="E25" s="15" t="str">
        <x:v>Giorgio</x:v>
      </x:c>
      <x:c r="F25" s="15" t="str">
        <x:v>Lanino</x:v>
      </x:c>
      <x:c r="G25" s="15" t="str">
        <x:v>lanino.giorgia@gmail.com</x:v>
      </x:c>
      <x:c r="H25" s="15" t="str"/>
      <x:c r="I25" s="15" t="n">
        <x:v>1</x:v>
      </x:c>
      <x:c r="J25" s="15" t="str">
        <x:v>Compatibile (nome equivalente)</x:v>
      </x:c>
      <x:c r="K25" s="15" t="str">
        <x:v>Gli Amici Roma</x:v>
      </x:c>
      <x:c r="L25" s="15" t="str"/>
      <x:c r="M25" s="15" t="str">
        <x:v>ROMA</x:v>
      </x:c>
      <x:c r="N25" s="16" t="str">
        <x:v>Denominazione ricondotta al nome usato nell'app.</x:v>
      </x:c>
      <x:c r="O25" s="15" t="str">
        <x:v>bfbd0efc-50f9-47f9-aa39-042868f1716e</x:v>
      </x:c>
    </x:row>
    <x:row r="26">
      <x:c r="A26" s="15" t="str">
        <x:v>Italia</x:v>
      </x:c>
      <x:c r="B26" s="15" t="str">
        <x:v>Roma</x:v>
      </x:c>
      <x:c r="C26" s="15" t="str">
        <x:v>Monterotondo</x:v>
      </x:c>
      <x:c r="D26" s="15" t="str">
        <x:v>area</x:v>
      </x:c>
      <x:c r="E26" s="15" t="str">
        <x:v>Andrea</x:v>
      </x:c>
      <x:c r="F26" s="15" t="str">
        <x:v>Giovannelli</x:v>
      </x:c>
      <x:c r="G26" s="15" t="str">
        <x:v>giovannellia@hotmail.com</x:v>
      </x:c>
      <x:c r="H26" s="15" t="str">
        <x:v>347 549 2884</x:v>
      </x:c>
      <x:c r="I26" s="15" t="n">
        <x:v>1</x:v>
      </x:c>
      <x:c r="J26" s="15" t="str">
        <x:v>Esatto</x:v>
      </x:c>
      <x:c r="K26" s="15" t="str">
        <x:v>Monterotondo</x:v>
      </x:c>
      <x:c r="L26" s="15" t="str">
        <x:v>Comunità di Roma</x:v>
      </x:c>
      <x:c r="M26" s="15" t="str">
        <x:v>ROMA</x:v>
      </x:c>
      <x:c r="N26" s="16" t="str"/>
      <x:c r="O26" s="15" t="str">
        <x:v>9228bd59-5e1f-4bc0-b858-297577f7d8c7</x:v>
      </x:c>
    </x:row>
    <x:row r="27">
      <x:c r="A27" s="15" t="str">
        <x:v>Italia</x:v>
      </x:c>
      <x:c r="B27" s="15" t="str">
        <x:v>Roma</x:v>
      </x:c>
      <x:c r="C27" s="15" t="str">
        <x:v>Pentecoste</x:v>
      </x:c>
      <x:c r="D27" s="15" t="str">
        <x:v>area</x:v>
      </x:c>
      <x:c r="E27" s="15" t="str">
        <x:v>Rita</x:v>
      </x:c>
      <x:c r="F27" s="15" t="str">
        <x:v>Cutini</x:v>
      </x:c>
      <x:c r="G27" s="15" t="str">
        <x:v>ritacutini@gmail.com</x:v>
      </x:c>
      <x:c r="H27" s="15" t="str"/>
      <x:c r="I27" s="15" t="n">
        <x:v>1</x:v>
      </x:c>
      <x:c r="J27" s="15" t="str">
        <x:v>Esatto</x:v>
      </x:c>
      <x:c r="K27" s="15" t="str">
        <x:v>Pentecoste</x:v>
      </x:c>
      <x:c r="L27" s="15" t="str"/>
      <x:c r="M27" s="15" t="str">
        <x:v>ROMA</x:v>
      </x:c>
      <x:c r="N27" s="16" t="str"/>
      <x:c r="O27" s="15" t="str">
        <x:v>c17a4817-2241-41e3-963e-4aa22ea06ffd</x:v>
      </x:c>
    </x:row>
    <x:row r="28">
      <x:c r="A28" s="15" t="str">
        <x:v>Italia</x:v>
      </x:c>
      <x:c r="B28" s="15" t="str">
        <x:v>Roma</x:v>
      </x:c>
      <x:c r="C28" s="15" t="str">
        <x:v>Pentecoste</x:v>
      </x:c>
      <x:c r="D28" s="15" t="str">
        <x:v>area</x:v>
      </x:c>
      <x:c r="E28" s="15" t="str">
        <x:v>Carmen</x:v>
      </x:c>
      <x:c r="F28" s="15" t="str">
        <x:v>Genovese</x:v>
      </x:c>
      <x:c r="G28" s="15" t="str">
        <x:v>carmengenovese01@gmail.com</x:v>
      </x:c>
      <x:c r="H28" s="15" t="str"/>
      <x:c r="I28" s="15" t="n">
        <x:v>4</x:v>
      </x:c>
      <x:c r="J28" s="15" t="str">
        <x:v>Esatto</x:v>
      </x:c>
      <x:c r="K28" s="15" t="str">
        <x:v>Pentecoste</x:v>
      </x:c>
      <x:c r="L28" s="15" t="str"/>
      <x:c r="M28" s="15" t="str">
        <x:v>ROMA</x:v>
      </x:c>
      <x:c r="N28" s="16" t="str"/>
      <x:c r="O28" s="15" t="str">
        <x:v>c17a4817-2241-41e3-963e-4aa22ea06ffd</x:v>
      </x:c>
    </x:row>
    <x:row r="29">
      <x:c r="A29" s="15" t="str">
        <x:v>Italia</x:v>
      </x:c>
      <x:c r="B29" s="15" t="str">
        <x:v>Roma</x:v>
      </x:c>
      <x:c r="C29" s="15" t="str">
        <x:v>Pentecoste</x:v>
      </x:c>
      <x:c r="D29" s="15" t="str">
        <x:v>area</x:v>
      </x:c>
      <x:c r="E29" s="15" t="str">
        <x:v>Annamaria</x:v>
      </x:c>
      <x:c r="F29" s="15" t="str">
        <x:v>Graziani</x:v>
      </x:c>
      <x:c r="G29" s="15" t="str">
        <x:v>grazianiannamaria@libero.it</x:v>
      </x:c>
      <x:c r="H29" s="15" t="str"/>
      <x:c r="I29" s="15" t="n">
        <x:v>2</x:v>
      </x:c>
      <x:c r="J29" s="15" t="str">
        <x:v>Esatto</x:v>
      </x:c>
      <x:c r="K29" s="15" t="str">
        <x:v>Pentecoste</x:v>
      </x:c>
      <x:c r="L29" s="15" t="str"/>
      <x:c r="M29" s="15" t="str">
        <x:v>ROMA</x:v>
      </x:c>
      <x:c r="N29" s="16" t="str"/>
      <x:c r="O29" s="15" t="str">
        <x:v>c17a4817-2241-41e3-963e-4aa22ea06ffd</x:v>
      </x:c>
    </x:row>
    <x:row r="30">
      <x:c r="A30" s="15" t="str">
        <x:v>Italia</x:v>
      </x:c>
      <x:c r="B30" s="15" t="str">
        <x:v>Roma</x:v>
      </x:c>
      <x:c r="C30" s="15" t="str">
        <x:v>Pentecoste</x:v>
      </x:c>
      <x:c r="D30" s="15" t="str">
        <x:v>area</x:v>
      </x:c>
      <x:c r="E30" s="15" t="str">
        <x:v>Angela</x:v>
      </x:c>
      <x:c r="F30" s="15" t="str">
        <x:v>Silvestrini</x:v>
      </x:c>
      <x:c r="G30" s="15" t="str">
        <x:v>ansilves@yahoo.it</x:v>
      </x:c>
      <x:c r="H30" s="15" t="str"/>
      <x:c r="I30" s="15" t="n">
        <x:v>3</x:v>
      </x:c>
      <x:c r="J30" s="15" t="str">
        <x:v>Esatto</x:v>
      </x:c>
      <x:c r="K30" s="15" t="str">
        <x:v>Pentecoste</x:v>
      </x:c>
      <x:c r="L30" s="15" t="str"/>
      <x:c r="M30" s="15" t="str">
        <x:v>ROMA</x:v>
      </x:c>
      <x:c r="N30" s="16" t="str"/>
      <x:c r="O30" s="15" t="str">
        <x:v>c17a4817-2241-41e3-963e-4aa22ea06ffd</x:v>
      </x:c>
    </x:row>
    <x:row r="31">
      <x:c r="A31" s="15" t="str">
        <x:v>Italia</x:v>
      </x:c>
      <x:c r="B31" s="15" t="str">
        <x:v>Roma</x:v>
      </x:c>
      <x:c r="C31" s="15" t="str">
        <x:v>Pentecoste</x:v>
      </x:c>
      <x:c r="D31" s="15" t="str">
        <x:v>area</x:v>
      </x:c>
      <x:c r="E31" s="15" t="str">
        <x:v>Laura</x:v>
      </x:c>
      <x:c r="F31" s="15" t="str">
        <x:v>Zacchi</x:v>
      </x:c>
      <x:c r="G31" s="15" t="str">
        <x:v>zacchi65@gmail.com</x:v>
      </x:c>
      <x:c r="H31" s="15" t="str"/>
      <x:c r="I31" s="15" t="n">
        <x:v>5</x:v>
      </x:c>
      <x:c r="J31" s="15" t="str">
        <x:v>Esatto</x:v>
      </x:c>
      <x:c r="K31" s="15" t="str">
        <x:v>Pentecoste</x:v>
      </x:c>
      <x:c r="L31" s="15" t="str"/>
      <x:c r="M31" s="15" t="str">
        <x:v>ROMA</x:v>
      </x:c>
      <x:c r="N31" s="16" t="str"/>
      <x:c r="O31" s="15" t="str">
        <x:v>c17a4817-2241-41e3-963e-4aa22ea06ffd</x:v>
      </x:c>
    </x:row>
    <x:row r="32">
      <x:c r="A32" s="15" t="str">
        <x:v>Italia</x:v>
      </x:c>
      <x:c r="B32" s="15" t="str">
        <x:v>Roma</x:v>
      </x:c>
      <x:c r="C32" s="15" t="str">
        <x:v>Resurrezione</x:v>
      </x:c>
      <x:c r="D32" s="15" t="str">
        <x:v>area</x:v>
      </x:c>
      <x:c r="E32" s="15" t="str">
        <x:v>Luciano</x:v>
      </x:c>
      <x:c r="F32" s="15" t="str">
        <x:v>Marchese</x:v>
      </x:c>
      <x:c r="G32" s="15" t="str">
        <x:v>marcheselu@gmail.com</x:v>
      </x:c>
      <x:c r="H32" s="15" t="str"/>
      <x:c r="I32" s="15" t="n">
        <x:v>2</x:v>
      </x:c>
      <x:c r="J32" s="15" t="str">
        <x:v>Esatto</x:v>
      </x:c>
      <x:c r="K32" s="15" t="str">
        <x:v>Resurrezione</x:v>
      </x:c>
      <x:c r="L32" s="15" t="str"/>
      <x:c r="M32" s="15" t="str">
        <x:v>ROMA</x:v>
      </x:c>
      <x:c r="N32" s="16" t="str"/>
      <x:c r="O32" s="15" t="str">
        <x:v>d889efee-dc4c-4c25-a0fe-1e42ca20f536</x:v>
      </x:c>
    </x:row>
    <x:row r="33">
      <x:c r="A33" s="15" t="str">
        <x:v>Italia</x:v>
      </x:c>
      <x:c r="B33" s="15" t="str">
        <x:v>Roma</x:v>
      </x:c>
      <x:c r="C33" s="15" t="str">
        <x:v>Resurrezione</x:v>
      </x:c>
      <x:c r="D33" s="15" t="str">
        <x:v>area</x:v>
      </x:c>
      <x:c r="E33" s="15" t="str">
        <x:v>Fabrizio</x:v>
      </x:c>
      <x:c r="F33" s="15" t="str">
        <x:v>Nurra</x:v>
      </x:c>
      <x:c r="G33" s="15" t="str">
        <x:v>19nurra54@gnail.com</x:v>
      </x:c>
      <x:c r="H33" s="15" t="str"/>
      <x:c r="I33" s="15" t="n">
        <x:v>1</x:v>
      </x:c>
      <x:c r="J33" s="15" t="str">
        <x:v>Esatto</x:v>
      </x:c>
      <x:c r="K33" s="15" t="str">
        <x:v>Resurrezione</x:v>
      </x:c>
      <x:c r="L33" s="15" t="str"/>
      <x:c r="M33" s="15" t="str">
        <x:v>ROMA</x:v>
      </x:c>
      <x:c r="N33" s="16" t="str"/>
      <x:c r="O33" s="15" t="str">
        <x:v>d889efee-dc4c-4c25-a0fe-1e42ca20f536</x:v>
      </x:c>
    </x:row>
    <x:row r="34">
      <x:c r="A34" s="15" t="str">
        <x:v>Italia</x:v>
      </x:c>
      <x:c r="B34" s="15" t="str">
        <x:v>Roma</x:v>
      </x:c>
      <x:c r="C34" s="15" t="str">
        <x:v>Resurrezione 68</x:v>
      </x:c>
      <x:c r="D34" s="15" t="str">
        <x:v>area</x:v>
      </x:c>
      <x:c r="E34" s="15" t="str">
        <x:v>Sandro</x:v>
      </x:c>
      <x:c r="F34" s="15" t="str">
        <x:v>Mancinelli</x:v>
      </x:c>
      <x:c r="G34" s="15" t="str">
        <x:v>sandro.mancinelli@gmail.com</x:v>
      </x:c>
      <x:c r="H34" s="15" t="str"/>
      <x:c r="I34" s="15" t="n">
        <x:v>2</x:v>
      </x:c>
      <x:c r="J34" s="15" t="str">
        <x:v>Compatibile (nome equivalente)</x:v>
      </x:c>
      <x:c r="K34" s="15" t="str">
        <x:v>Resurrezione ‘68</x:v>
      </x:c>
      <x:c r="L34" s="15" t="str"/>
      <x:c r="M34" s="15" t="str">
        <x:v>ROMA</x:v>
      </x:c>
      <x:c r="N34" s="16" t="str"/>
      <x:c r="O34" s="15" t="str">
        <x:v>96a1a10e-a60f-4506-b4b6-7296ec52ad44</x:v>
      </x:c>
    </x:row>
    <x:row r="35">
      <x:c r="A35" s="15" t="str">
        <x:v>Italia</x:v>
      </x:c>
      <x:c r="B35" s="15" t="str">
        <x:v>Roma</x:v>
      </x:c>
      <x:c r="C35" s="15" t="str">
        <x:v>Resurrezione 68</x:v>
      </x:c>
      <x:c r="D35" s="15" t="str">
        <x:v>area</x:v>
      </x:c>
      <x:c r="E35" s="15" t="str">
        <x:v>Stefania</x:v>
      </x:c>
      <x:c r="F35" s="15" t="str">
        <x:v>Tallei</x:v>
      </x:c>
      <x:c r="G35" s="15" t="str">
        <x:v>s.talleito@gmail.com</x:v>
      </x:c>
      <x:c r="H35" s="15" t="str"/>
      <x:c r="I35" s="15" t="n">
        <x:v>1</x:v>
      </x:c>
      <x:c r="J35" s="15" t="str">
        <x:v>Compatibile (nome equivalente)</x:v>
      </x:c>
      <x:c r="K35" s="15" t="str">
        <x:v>Resurrezione ‘68</x:v>
      </x:c>
      <x:c r="L35" s="15" t="str"/>
      <x:c r="M35" s="15" t="str">
        <x:v>ROMA</x:v>
      </x:c>
      <x:c r="N35" s="16" t="str"/>
      <x:c r="O35" s="15" t="str">
        <x:v>96a1a10e-a60f-4506-b4b6-7296ec52ad44</x:v>
      </x:c>
    </x:row>
    <x:row r="36">
      <x:c r="A36" s="15" t="str">
        <x:v>Italia</x:v>
      </x:c>
      <x:c r="B36" s="15" t="str">
        <x:v>Roma</x:v>
      </x:c>
      <x:c r="C36" s="15" t="str">
        <x:v>Sant'Andrea</x:v>
      </x:c>
      <x:c r="D36" s="15" t="str">
        <x:v>area</x:v>
      </x:c>
      <x:c r="E36" s="15" t="str">
        <x:v>Antonella</x:v>
      </x:c>
      <x:c r="F36" s="15" t="str">
        <x:v>Coassin</x:v>
      </x:c>
      <x:c r="G36" s="15" t="str">
        <x:v>antocoa83@gmail.com</x:v>
      </x:c>
      <x:c r="H36" s="15" t="str"/>
      <x:c r="I36" s="15" t="n">
        <x:v>2</x:v>
      </x:c>
      <x:c r="J36" s="15" t="str">
        <x:v>Compatibile (nome equivalente)</x:v>
      </x:c>
      <x:c r="K36" s="15" t="str">
        <x:v>Sant’Andrea</x:v>
      </x:c>
      <x:c r="L36" s="15" t="str"/>
      <x:c r="M36" s="15" t="str">
        <x:v>ROMA</x:v>
      </x:c>
      <x:c r="N36" s="16" t="str"/>
      <x:c r="O36" s="15" t="str">
        <x:v>050bd6d5-e037-4fe8-8fab-1927eac00af2</x:v>
      </x:c>
    </x:row>
    <x:row r="37">
      <x:c r="A37" s="15" t="str">
        <x:v>Italia</x:v>
      </x:c>
      <x:c r="B37" s="15" t="str">
        <x:v>Roma</x:v>
      </x:c>
      <x:c r="C37" s="15" t="str">
        <x:v>Sant'Andrea</x:v>
      </x:c>
      <x:c r="D37" s="15" t="str">
        <x:v>area</x:v>
      </x:c>
      <x:c r="E37" s="15" t="str">
        <x:v>Vittorio</x:v>
      </x:c>
      <x:c r="F37" s="15" t="str">
        <x:v>Scelzo</x:v>
      </x:c>
      <x:c r="G37" s="15" t="str">
        <x:v>v.scelzo@gmail.com</x:v>
      </x:c>
      <x:c r="H37" s="15" t="str"/>
      <x:c r="I37" s="15" t="n">
        <x:v>1</x:v>
      </x:c>
      <x:c r="J37" s="15" t="str">
        <x:v>Compatibile (nome equivalente)</x:v>
      </x:c>
      <x:c r="K37" s="15" t="str">
        <x:v>Sant’Andrea</x:v>
      </x:c>
      <x:c r="L37" s="15" t="str"/>
      <x:c r="M37" s="15" t="str">
        <x:v>ROMA</x:v>
      </x:c>
      <x:c r="N37" s="16" t="str"/>
      <x:c r="O37" s="15" t="str">
        <x:v>050bd6d5-e037-4fe8-8fab-1927eac00af2</x:v>
      </x:c>
    </x:row>
    <x:row r="38">
      <x:c r="A38" s="15" t="str">
        <x:v>Italia</x:v>
      </x:c>
      <x:c r="B38" s="15" t="str">
        <x:v>Roma</x:v>
      </x:c>
      <x:c r="C38" s="15" t="str">
        <x:v>Sant'Egidio</x:v>
      </x:c>
      <x:c r="D38" s="15" t="str">
        <x:v>area</x:v>
      </x:c>
      <x:c r="E38" s="15" t="str">
        <x:v>Franco</x:v>
      </x:c>
      <x:c r="F38" s="15" t="str">
        <x:v>Di Domenicantonio</x:v>
      </x:c>
      <x:c r="G38" s="15" t="str">
        <x:v>francodido@gmail.com</x:v>
      </x:c>
      <x:c r="H38" s="15" t="str"/>
      <x:c r="I38" s="15" t="n">
        <x:v>2</x:v>
      </x:c>
      <x:c r="J38" s="15" t="str">
        <x:v>Compatibile (nome equivalente)</x:v>
      </x:c>
      <x:c r="K38" s="15" t="str">
        <x:v>Sant’Egidio</x:v>
      </x:c>
      <x:c r="L38" s="15" t="str"/>
      <x:c r="M38" s="15" t="str">
        <x:v>ROMA</x:v>
      </x:c>
      <x:c r="N38" s="16" t="str"/>
      <x:c r="O38" s="15" t="str">
        <x:v>9aa9821e-a9b8-4a1a-90a4-3f8462355fd6</x:v>
      </x:c>
    </x:row>
    <x:row r="39">
      <x:c r="A39" s="15" t="str">
        <x:v>Italia</x:v>
      </x:c>
      <x:c r="B39" s="15" t="str">
        <x:v>Roma</x:v>
      </x:c>
      <x:c r="C39" s="15" t="str">
        <x:v>Sant'Egidio</x:v>
      </x:c>
      <x:c r="D39" s="15" t="str">
        <x:v>area</x:v>
      </x:c>
      <x:c r="E39" s="15" t="str">
        <x:v>Susanna</x:v>
      </x:c>
      <x:c r="F39" s="15" t="str">
        <x:v>Placidi</x:v>
      </x:c>
      <x:c r="G39" s="15" t="str">
        <x:v>placidisusanna@gmail.com</x:v>
      </x:c>
      <x:c r="H39" s="15" t="str"/>
      <x:c r="I39" s="15" t="n">
        <x:v>1</x:v>
      </x:c>
      <x:c r="J39" s="15" t="str">
        <x:v>Compatibile (nome equivalente)</x:v>
      </x:c>
      <x:c r="K39" s="15" t="str">
        <x:v>Sant’Egidio</x:v>
      </x:c>
      <x:c r="L39" s="15" t="str"/>
      <x:c r="M39" s="15" t="str">
        <x:v>ROMA</x:v>
      </x:c>
      <x:c r="N39" s="16" t="str"/>
      <x:c r="O39" s="15" t="str">
        <x:v>9aa9821e-a9b8-4a1a-90a4-3f8462355fd6</x:v>
      </x:c>
    </x:row>
    <x:row r="40">
      <x:c r="A40" s="15" t="str">
        <x:v>Italia</x:v>
      </x:c>
      <x:c r="B40" s="15" t="str">
        <x:v>Roma</x:v>
      </x:c>
      <x:c r="C40" s="15" t="str">
        <x:v>Seminario</x:v>
      </x:c>
      <x:c r="D40" s="15" t="str">
        <x:v>area</x:v>
      </x:c>
      <x:c r="E40" s="15" t="str">
        <x:v>Moise</x:v>
      </x:c>
      <x:c r="F40" s="15" t="str">
        <x:v>Beavogui</x:v>
      </x:c>
      <x:c r="G40" s="15" t="str">
        <x:v>moisebeavogui@gmail.com</x:v>
      </x:c>
      <x:c r="H40" s="15" t="str"/>
      <x:c r="I40" s="15" t="n">
        <x:v>1</x:v>
      </x:c>
      <x:c r="J40" s="15" t="str">
        <x:v>Esatto</x:v>
      </x:c>
      <x:c r="K40" s="15" t="str">
        <x:v>Seminario</x:v>
      </x:c>
      <x:c r="L40" s="15" t="str"/>
      <x:c r="M40" s="15" t="str">
        <x:v>ROMA</x:v>
      </x:c>
      <x:c r="N40" s="16" t="str"/>
      <x:c r="O40" s="15" t="str">
        <x:v>82dea775-f640-4757-abdc-7c86d0ec87ea</x:v>
      </x:c>
    </x:row>
    <x:row r="41">
      <x:c r="A41" s="15" t="str">
        <x:v>Italia</x:v>
      </x:c>
      <x:c r="B41" s="15" t="str">
        <x:v>Roma</x:v>
      </x:c>
      <x:c r="C41" s="15" t="str">
        <x:v>Universitari</x:v>
      </x:c>
      <x:c r="D41" s="15" t="str">
        <x:v>area</x:v>
      </x:c>
      <x:c r="E41" s="15" t="str">
        <x:v>Massimiliano</x:v>
      </x:c>
      <x:c r="F41" s="15" t="str">
        <x:v>Signifredi</x:v>
      </x:c>
      <x:c r="G41" s="15" t="str">
        <x:v>msignifredi@gmail.com</x:v>
      </x:c>
      <x:c r="H41" s="15" t="str"/>
      <x:c r="I41" s="15" t="n">
        <x:v>1</x:v>
      </x:c>
      <x:c r="J41" s="15" t="str">
        <x:v>Esatto</x:v>
      </x:c>
      <x:c r="K41" s="15" t="str">
        <x:v>Universitari</x:v>
      </x:c>
      <x:c r="L41" s="15" t="str"/>
      <x:c r="M41" s="15" t="str">
        <x:v>ROMA</x:v>
      </x:c>
      <x:c r="N41" s="16" t="str">
        <x:v>Nel progetto il referente indicato sul gruppo è Stefano Orlando; verificare sostituzione o affiancamento.</x:v>
      </x:c>
      <x:c r="O41" s="15" t="str">
        <x:v>7253d6ac-cbaf-4221-b3bc-94e627c57087</x:v>
      </x:c>
    </x:row>
    <x:row r="42">
      <x:c r="A42" s="15" t="str">
        <x:v>Italia</x:v>
      </x:c>
      <x:c r="B42" s="15" t="str">
        <x:v>Roma</x:v>
      </x:c>
      <x:c r="C42" s="15" t="str">
        <x:v>Giovani per la pace scuole superiori</x:v>
      </x:c>
      <x:c r="D42" s="15" t="str">
        <x:v>area</x:v>
      </x:c>
      <x:c r="E42" s="15" t="str">
        <x:v>Gabriele</x:v>
      </x:c>
      <x:c r="F42" s="15" t="str">
        <x:v>Palmieri</x:v>
      </x:c>
      <x:c r="G42" s="15" t="str">
        <x:v>gab.palmieri@gmail.com</x:v>
      </x:c>
      <x:c r="H42" s="15" t="str"/>
      <x:c r="I42" s="15" t="n">
        <x:v>1</x:v>
      </x:c>
      <x:c r="J42" s="15" t="str">
        <x:v>Compatibile (nome equivalente)</x:v>
      </x:c>
      <x:c r="K42" s="15" t="str">
        <x:v>Lieceali</x:v>
      </x:c>
      <x:c r="L42" s="15" t="str"/>
      <x:c r="M42" s="15" t="str">
        <x:v>ROMA</x:v>
      </x:c>
      <x:c r="N42" s="16" t="str">
        <x:v>Interpretato come 'Liceali'. Nel progetto il referente indicato sul gruppo è Laura Guida; verificare sostituzione o affiancamento.</x:v>
      </x:c>
      <x:c r="O42" s="15" t="str">
        <x:v>a40584a7-5376-4277-9904-3cf4cf3d6b9c</x:v>
      </x:c>
    </x:row>
    <x:row r="43">
      <x:c r="A43" s="15" t="str">
        <x:v>Italia</x:v>
      </x:c>
      <x:c r="B43" s="15" t="str">
        <x:v>Roma</x:v>
      </x:c>
      <x:c r="C43" s="15" t="str">
        <x:v>Anziani Roma Centro</x:v>
      </x:c>
      <x:c r="D43" s="15" t="str">
        <x:v>area</x:v>
      </x:c>
      <x:c r="E43" s="15" t="str">
        <x:v>Chiara</x:v>
      </x:c>
      <x:c r="F43" s="15" t="str">
        <x:v>Inzerilli</x:v>
      </x:c>
      <x:c r="G43" s="15" t="str">
        <x:v>chiarainzerilli@gmail.com</x:v>
      </x:c>
      <x:c r="H43" s="15" t="str"/>
      <x:c r="I43" s="15" t="n">
        <x:v>1</x:v>
      </x:c>
      <x:c r="J43" s="15" t="str">
        <x:v>Aggregato geografico – verificare</x:v>
      </x:c>
      <x:c r="K43" s="15" t="str">
        <x:v>Anziani Monti/Esquilino</x:v>
      </x:c>
      <x:c r="L43" s="15" t="str">
        <x:v>Anziani Roma</x:v>
      </x:c>
      <x:c r="M43" s="15" t="str">
        <x:v>ROMA</x:v>
      </x:c>
      <x:c r="N43" s="16" t="str">
        <x:v>Area anziani locale ricondotta alla macro-area dell'app; confermare la ripartizione.</x:v>
      </x:c>
      <x:c r="O43" s="15" t="str">
        <x:v>6d9a64b9-224c-4ae4-928c-9479718a0903</x:v>
      </x:c>
    </x:row>
    <x:row r="44">
      <x:c r="A44" s="15" t="str">
        <x:v>Italia</x:v>
      </x:c>
      <x:c r="B44" s="15" t="str">
        <x:v>Roma</x:v>
      </x:c>
      <x:c r="C44" s="15" t="str">
        <x:v>Anziani Roma Centro</x:v>
      </x:c>
      <x:c r="D44" s="15" t="str">
        <x:v>area</x:v>
      </x:c>
      <x:c r="E44" s="15" t="str">
        <x:v>Paola</x:v>
      </x:c>
      <x:c r="F44" s="15" t="str">
        <x:v>Carcaterra</x:v>
      </x:c>
      <x:c r="G44" s="15" t="str">
        <x:v>paolacarcaterra@gmail.com</x:v>
      </x:c>
      <x:c r="H44" s="15" t="str"/>
      <x:c r="I44" s="15" t="n">
        <x:v>1</x:v>
      </x:c>
      <x:c r="J44" s="15" t="str">
        <x:v>Aggregato geografico – verificare</x:v>
      </x:c>
      <x:c r="K44" s="15" t="str">
        <x:v>Anziani Primavalle</x:v>
      </x:c>
      <x:c r="L44" s="15" t="str">
        <x:v>Anziani Roma</x:v>
      </x:c>
      <x:c r="M44" s="15" t="str">
        <x:v>ROMA</x:v>
      </x:c>
      <x:c r="N44" s="16" t="str">
        <x:v>Area anziani locale ricondotta alla macro-area dell'app; confermare la ripartizione.</x:v>
      </x:c>
      <x:c r="O44" s="15" t="str">
        <x:v>6d9a64b9-224c-4ae4-928c-9479718a0903</x:v>
      </x:c>
    </x:row>
    <x:row r="45">
      <x:c r="A45" s="15" t="str">
        <x:v>Italia</x:v>
      </x:c>
      <x:c r="B45" s="15" t="str">
        <x:v>Roma</x:v>
      </x:c>
      <x:c r="C45" s="15" t="str">
        <x:v>Anziani Roma Centro</x:v>
      </x:c>
      <x:c r="D45" s="15" t="str">
        <x:v>area</x:v>
      </x:c>
      <x:c r="E45" s="15" t="str">
        <x:v>Augusto</x:v>
      </x:c>
      <x:c r="F45" s="15" t="str">
        <x:v>D'Angelo</x:v>
      </x:c>
      <x:c r="G45" s="15" t="str">
        <x:v>augusto.dangelo@gmail.com</x:v>
      </x:c>
      <x:c r="H45" s="15" t="str"/>
      <x:c r="I45" s="15" t="n">
        <x:v>2</x:v>
      </x:c>
      <x:c r="J45" s="15" t="str">
        <x:v>Aggregato geografico – verificare</x:v>
      </x:c>
      <x:c r="K45" s="15" t="str">
        <x:v>Anziani Trastevere</x:v>
      </x:c>
      <x:c r="L45" s="15" t="str">
        <x:v>Anziani Roma</x:v>
      </x:c>
      <x:c r="M45" s="15" t="str">
        <x:v>ROMA</x:v>
      </x:c>
      <x:c r="N45" s="16" t="str">
        <x:v>Area anziani locale ricondotta alla macro-area dell'app; confermare la ripartizione.</x:v>
      </x:c>
      <x:c r="O45" s="15" t="str">
        <x:v>6d9a64b9-224c-4ae4-928c-9479718a0903</x:v>
      </x:c>
    </x:row>
    <x:row r="46">
      <x:c r="A46" s="15" t="str">
        <x:v>Italia</x:v>
      </x:c>
      <x:c r="B46" s="15" t="str">
        <x:v>Roma</x:v>
      </x:c>
      <x:c r="C46" s="15" t="str">
        <x:v>Anziani Roma Centro</x:v>
      </x:c>
      <x:c r="D46" s="15" t="str">
        <x:v>area</x:v>
      </x:c>
      <x:c r="E46" s="15" t="str">
        <x:v>Olga</x:v>
      </x:c>
      <x:c r="F46" s="15" t="str">
        <x:v>Madaro</x:v>
      </x:c>
      <x:c r="G46" s="15" t="str">
        <x:v>olga.madaro@gmail.com</x:v>
      </x:c>
      <x:c r="H46" s="15" t="str"/>
      <x:c r="I46" s="15" t="n">
        <x:v>1</x:v>
      </x:c>
      <x:c r="J46" s="15" t="str">
        <x:v>Aggregato geografico – verificare</x:v>
      </x:c>
      <x:c r="K46" s="15" t="str">
        <x:v>Anziani Trastevere</x:v>
      </x:c>
      <x:c r="L46" s="15" t="str">
        <x:v>Anziani Roma</x:v>
      </x:c>
      <x:c r="M46" s="15" t="str">
        <x:v>ROMA</x:v>
      </x:c>
      <x:c r="N46" s="16" t="str">
        <x:v>Area anziani locale ricondotta alla macro-area dell'app; confermare la ripartizione.</x:v>
      </x:c>
      <x:c r="O46" s="15" t="str">
        <x:v>6d9a64b9-224c-4ae4-928c-9479718a0903</x:v>
      </x:c>
    </x:row>
    <x:row r="47">
      <x:c r="A47" s="15" t="str">
        <x:v>Italia</x:v>
      </x:c>
      <x:c r="B47" s="15" t="str">
        <x:v>Roma</x:v>
      </x:c>
      <x:c r="C47" s="15" t="str">
        <x:v>Anziani Roma Centro</x:v>
      </x:c>
      <x:c r="D47" s="15" t="str">
        <x:v>area</x:v>
      </x:c>
      <x:c r="E47" s="15" t="str">
        <x:v>Stefania</x:v>
      </x:c>
      <x:c r="F47" s="15" t="str">
        <x:v>Murari</x:v>
      </x:c>
      <x:c r="G47" s="15" t="str">
        <x:v>muraristefania@gmail.com</x:v>
      </x:c>
      <x:c r="H47" s="15" t="str"/>
      <x:c r="I47" s="15" t="n">
        <x:v>3</x:v>
      </x:c>
      <x:c r="J47" s="15" t="str">
        <x:v>Aggregato geografico – verificare</x:v>
      </x:c>
      <x:c r="K47" s="15" t="str">
        <x:v>Anziani Trastevere</x:v>
      </x:c>
      <x:c r="L47" s="15" t="str">
        <x:v>Anziani Roma</x:v>
      </x:c>
      <x:c r="M47" s="15" t="str">
        <x:v>ROMA</x:v>
      </x:c>
      <x:c r="N47" s="16" t="str">
        <x:v>Area anziani locale ricondotta alla macro-area dell'app; confermare la ripartizione.</x:v>
      </x:c>
      <x:c r="O47" s="15" t="str">
        <x:v>6d9a64b9-224c-4ae4-928c-9479718a0903</x:v>
      </x:c>
    </x:row>
    <x:row r="48">
      <x:c r="A48" s="15" t="str">
        <x:v>Italia</x:v>
      </x:c>
      <x:c r="B48" s="15" t="str">
        <x:v>Roma</x:v>
      </x:c>
      <x:c r="C48" s="15" t="str">
        <x:v>Anziani Roma Est</x:v>
      </x:c>
      <x:c r="D48" s="15" t="str">
        <x:v>area</x:v>
      </x:c>
      <x:c r="E48" s="15" t="str">
        <x:v>Giuseppe</x:v>
      </x:c>
      <x:c r="F48" s="15" t="str">
        <x:v>Liotta</x:v>
      </x:c>
      <x:c r="G48" s="15" t="str">
        <x:v>giuseppeliotta@hotmail.com</x:v>
      </x:c>
      <x:c r="H48" s="15" t="str"/>
      <x:c r="I48" s="15" t="n">
        <x:v>1</x:v>
      </x:c>
      <x:c r="J48" s="15" t="str">
        <x:v>Aggregato geografico – verificare</x:v>
      </x:c>
      <x:c r="K48" s="15" t="str">
        <x:v>Anziani Tiburtino</x:v>
      </x:c>
      <x:c r="L48" s="15" t="str">
        <x:v>Anziani Roma</x:v>
      </x:c>
      <x:c r="M48" s="15" t="str">
        <x:v>ROMA</x:v>
      </x:c>
      <x:c r="N48" s="16" t="str">
        <x:v>Area anziani locale ricondotta alla macro-area dell'app; confermare la ripartizione.</x:v>
      </x:c>
      <x:c r="O48" s="15" t="str">
        <x:v>a0704d5f-cc54-4f99-8b13-2aa341e66466</x:v>
      </x:c>
    </x:row>
    <x:row r="49">
      <x:c r="A49" s="15" t="str">
        <x:v>Italia</x:v>
      </x:c>
      <x:c r="B49" s="15" t="str">
        <x:v>Roma</x:v>
      </x:c>
      <x:c r="C49" s="15" t="str">
        <x:v>Anziani Roma Est</x:v>
      </x:c>
      <x:c r="D49" s="15" t="str">
        <x:v>area</x:v>
      </x:c>
      <x:c r="E49" s="15" t="str">
        <x:v>Alessandra</x:v>
      </x:c>
      <x:c r="F49" s="15" t="str">
        <x:v>Genovese</x:v>
      </x:c>
      <x:c r="G49" s="15" t="str">
        <x:v>alessandra.gen1965@gmail.com</x:v>
      </x:c>
      <x:c r="H49" s="15" t="str"/>
      <x:c r="I49" s="15" t="n">
        <x:v>1</x:v>
      </x:c>
      <x:c r="J49" s="15" t="str">
        <x:v>Aggregato geografico – verificare</x:v>
      </x:c>
      <x:c r="K49" s="15" t="str">
        <x:v>Anziani Tor Bella Monaca</x:v>
      </x:c>
      <x:c r="L49" s="15" t="str">
        <x:v>Anziani Roma</x:v>
      </x:c>
      <x:c r="M49" s="15" t="str">
        <x:v>ROMA</x:v>
      </x:c>
      <x:c r="N49" s="16" t="str">
        <x:v>Area anziani locale ricondotta alla macro-area dell'app; confermare la ripartizione.</x:v>
      </x:c>
      <x:c r="O49" s="15" t="str">
        <x:v>a0704d5f-cc54-4f99-8b13-2aa341e66466</x:v>
      </x:c>
    </x:row>
    <x:row r="50">
      <x:c r="A50" s="15" t="str">
        <x:v>Italia</x:v>
      </x:c>
      <x:c r="B50" s="15" t="str">
        <x:v>Roma</x:v>
      </x:c>
      <x:c r="C50" s="15" t="str">
        <x:v>Anziani Roma Est</x:v>
      </x:c>
      <x:c r="D50" s="15" t="str">
        <x:v>area</x:v>
      </x:c>
      <x:c r="E50" s="15" t="str">
        <x:v>Roberto</x:v>
      </x:c>
      <x:c r="F50" s="15" t="str">
        <x:v>Pagliaroli</x:v>
      </x:c>
      <x:c r="G50" s="15" t="str">
        <x:v>robpag2012@gmail.com</x:v>
      </x:c>
      <x:c r="H50" s="15" t="str"/>
      <x:c r="I50" s="15" t="n">
        <x:v>1</x:v>
      </x:c>
      <x:c r="J50" s="15" t="str">
        <x:v>Aggregato geografico – verificare</x:v>
      </x:c>
      <x:c r="K50" s="15" t="str">
        <x:v>Anziani Torrenova</x:v>
      </x:c>
      <x:c r="L50" s="15" t="str">
        <x:v>Anziani Roma</x:v>
      </x:c>
      <x:c r="M50" s="15" t="str">
        <x:v>ROMA</x:v>
      </x:c>
      <x:c r="N50" s="16" t="str">
        <x:v>Area anziani locale ricondotta alla macro-area dell'app; confermare la ripartizione.</x:v>
      </x:c>
      <x:c r="O50" s="15" t="str">
        <x:v>a0704d5f-cc54-4f99-8b13-2aa341e66466</x:v>
      </x:c>
    </x:row>
    <x:row r="51">
      <x:c r="A51" s="15" t="str">
        <x:v>Italia</x:v>
      </x:c>
      <x:c r="B51" s="15" t="str">
        <x:v>Roma</x:v>
      </x:c>
      <x:c r="C51" s="15" t="str">
        <x:v>Anziani Roma Est</x:v>
      </x:c>
      <x:c r="D51" s="15" t="str">
        <x:v>area</x:v>
      </x:c>
      <x:c r="E51" s="15" t="str">
        <x:v>Roberto</x:v>
      </x:c>
      <x:c r="F51" s="15" t="str">
        <x:v>Borzi</x:v>
      </x:c>
      <x:c r="G51" s="15" t="str">
        <x:v>robor53@gmail.com</x:v>
      </x:c>
      <x:c r="H51" s="15" t="str"/>
      <x:c r="I51" s="15" t="n">
        <x:v>1</x:v>
      </x:c>
      <x:c r="J51" s="15" t="str">
        <x:v>Aggregato geografico – verificare</x:v>
      </x:c>
      <x:c r="K51" s="15" t="str">
        <x:v>Anziani Tuscolano</x:v>
      </x:c>
      <x:c r="L51" s="15" t="str">
        <x:v>Anziani Roma</x:v>
      </x:c>
      <x:c r="M51" s="15" t="str">
        <x:v>ROMA</x:v>
      </x:c>
      <x:c r="N51" s="16" t="str">
        <x:v>Area anziani locale ricondotta alla macro-area dell'app; confermare la ripartizione.</x:v>
      </x:c>
      <x:c r="O51" s="15" t="str">
        <x:v>a0704d5f-cc54-4f99-8b13-2aa341e66466</x:v>
      </x:c>
    </x:row>
    <x:row r="52">
      <x:c r="A52" s="15" t="str">
        <x:v>Italia</x:v>
      </x:c>
      <x:c r="B52" s="15" t="str">
        <x:v>Roma</x:v>
      </x:c>
      <x:c r="C52" s="15" t="str">
        <x:v>Anziani Roma Nord</x:v>
      </x:c>
      <x:c r="D52" s="15" t="str">
        <x:v>area</x:v>
      </x:c>
      <x:c r="E52" s="15" t="str">
        <x:v>Patrizia</x:v>
      </x:c>
      <x:c r="F52" s="15" t="str">
        <x:v>Pugliese</x:v>
      </x:c>
      <x:c r="G52" s="15" t="str">
        <x:v>patrizia.pugliese@yahoo.it</x:v>
      </x:c>
      <x:c r="H52" s="15" t="str"/>
      <x:c r="I52" s="15" t="n">
        <x:v>1</x:v>
      </x:c>
      <x:c r="J52" s="15" t="str">
        <x:v>Aggregato geografico – verificare</x:v>
      </x:c>
      <x:c r="K52" s="15" t="str">
        <x:v>Anziani Flaminio</x:v>
      </x:c>
      <x:c r="L52" s="15" t="str">
        <x:v>Anziani Roma</x:v>
      </x:c>
      <x:c r="M52" s="15" t="str">
        <x:v>ROMA</x:v>
      </x:c>
      <x:c r="N52" s="16" t="str">
        <x:v>Area anziani locale ricondotta alla macro-area dell'app; confermare la ripartizione.</x:v>
      </x:c>
      <x:c r="O52" s="15" t="str">
        <x:v>696d2c09-ae6b-429c-abe9-7f0d3d949012</x:v>
      </x:c>
    </x:row>
    <x:row r="53">
      <x:c r="A53" s="15" t="str">
        <x:v>Italia</x:v>
      </x:c>
      <x:c r="B53" s="15" t="str">
        <x:v>Roma</x:v>
      </x:c>
      <x:c r="C53" s="15" t="str">
        <x:v>Anziani Roma Nord</x:v>
      </x:c>
      <x:c r="D53" s="15" t="str">
        <x:v>area</x:v>
      </x:c>
      <x:c r="E53" s="15" t="str">
        <x:v>Luigia</x:v>
      </x:c>
      <x:c r="F53" s="15" t="str">
        <x:v>Fioramonti</x:v>
      </x:c>
      <x:c r="G53" s="15" t="str">
        <x:v>luigiafioramonti@gmail.com</x:v>
      </x:c>
      <x:c r="H53" s="15" t="str"/>
      <x:c r="I53" s="15" t="n">
        <x:v>1</x:v>
      </x:c>
      <x:c r="J53" s="15" t="str">
        <x:v>Aggregato geografico – verificare</x:v>
      </x:c>
      <x:c r="K53" s="15" t="str">
        <x:v>Anziani Nomentano</x:v>
      </x:c>
      <x:c r="L53" s="15" t="str">
        <x:v>Anziani Roma</x:v>
      </x:c>
      <x:c r="M53" s="15" t="str">
        <x:v>ROMA</x:v>
      </x:c>
      <x:c r="N53" s="16" t="str">
        <x:v>Area anziani locale ricondotta alla macro-area dell'app; confermare la ripartizione.</x:v>
      </x:c>
      <x:c r="O53" s="15" t="str">
        <x:v>696d2c09-ae6b-429c-abe9-7f0d3d949012</x:v>
      </x:c>
    </x:row>
    <x:row r="54">
      <x:c r="A54" s="15" t="str">
        <x:v>Italia</x:v>
      </x:c>
      <x:c r="B54" s="15" t="str">
        <x:v>Roma</x:v>
      </x:c>
      <x:c r="C54" s="15" t="str">
        <x:v>Anziani Roma Sud</x:v>
      </x:c>
      <x:c r="D54" s="15" t="str">
        <x:v>area</x:v>
      </x:c>
      <x:c r="E54" s="15" t="str">
        <x:v>Ilaria</x:v>
      </x:c>
      <x:c r="F54" s="15" t="str">
        <x:v>Cacciani</x:v>
      </x:c>
      <x:c r="G54" s="15" t="str">
        <x:v>i_cacciani@libero.it</x:v>
      </x:c>
      <x:c r="H54" s="15" t="str"/>
      <x:c r="I54" s="15" t="n">
        <x:v>1</x:v>
      </x:c>
      <x:c r="J54" s="15" t="str">
        <x:v>Aggregato geografico – verificare</x:v>
      </x:c>
      <x:c r="K54" s="15" t="str">
        <x:v>Anziani Garbatella</x:v>
      </x:c>
      <x:c r="L54" s="15" t="str">
        <x:v>Anziani Roma</x:v>
      </x:c>
      <x:c r="M54" s="15" t="str">
        <x:v>ROMA</x:v>
      </x:c>
      <x:c r="N54" s="16" t="str">
        <x:v>Area anziani locale ricondotta alla macro-area dell'app; confermare la ripartizione.</x:v>
      </x:c>
      <x:c r="O54" s="15" t="str">
        <x:v>9487e092-c771-4b03-8419-d20ab4370ece</x:v>
      </x:c>
    </x:row>
    <x:row r="55">
      <x:c r="A55" s="15" t="str">
        <x:v>Italia</x:v>
      </x:c>
      <x:c r="B55" s="15" t="str">
        <x:v>Roma</x:v>
      </x:c>
      <x:c r="C55" s="15" t="str">
        <x:v>Anziani Roma Sud</x:v>
      </x:c>
      <x:c r="D55" s="15" t="str">
        <x:v>area</x:v>
      </x:c>
      <x:c r="E55" s="15" t="str">
        <x:v>Graziella</x:v>
      </x:c>
      <x:c r="F55" s="15" t="str">
        <x:v>Tintisona</x:v>
      </x:c>
      <x:c r="G55" s="15" t="str">
        <x:v>gratinti@hotmail.com</x:v>
      </x:c>
      <x:c r="H55" s="15" t="str"/>
      <x:c r="I55" s="15" t="n">
        <x:v>1</x:v>
      </x:c>
      <x:c r="J55" s="15" t="str">
        <x:v>Aggregato geografico – verificare</x:v>
      </x:c>
      <x:c r="K55" s="15" t="str">
        <x:v>Anziani Laurentino</x:v>
      </x:c>
      <x:c r="L55" s="15" t="str">
        <x:v>Anziani Roma</x:v>
      </x:c>
      <x:c r="M55" s="15" t="str">
        <x:v>ROMA</x:v>
      </x:c>
      <x:c r="N55" s="16" t="str">
        <x:v>Area anziani locale ricondotta alla macro-area dell'app; confermare la ripartizione.</x:v>
      </x:c>
      <x:c r="O55" s="15" t="str">
        <x:v>9487e092-c771-4b03-8419-d20ab4370ece</x:v>
      </x:c>
    </x:row>
    <x:row r="56">
      <x:c r="A56" s="15" t="str">
        <x:v>Italia</x:v>
      </x:c>
      <x:c r="B56" s="15" t="str">
        <x:v>Roma</x:v>
      </x:c>
      <x:c r="C56" s="15" t="str">
        <x:v>Anziani Roma Sud</x:v>
      </x:c>
      <x:c r="D56" s="15" t="str">
        <x:v>area</x:v>
      </x:c>
      <x:c r="E56" s="15" t="str">
        <x:v>Maria</x:v>
      </x:c>
      <x:c r="F56" s="15" t="str">
        <x:v>Mangeruga</x:v>
      </x:c>
      <x:c r="G56" s="15" t="str">
        <x:v>mariamangeruga@gmail.com</x:v>
      </x:c>
      <x:c r="H56" s="15" t="str"/>
      <x:c r="I56" s="15" t="n">
        <x:v>1</x:v>
      </x:c>
      <x:c r="J56" s="15" t="str">
        <x:v>Aggregato geografico – verificare</x:v>
      </x:c>
      <x:c r="K56" s="15" t="str">
        <x:v>Anziani San Giovanni</x:v>
      </x:c>
      <x:c r="L56" s="15" t="str">
        <x:v>Anziani Roma</x:v>
      </x:c>
      <x:c r="M56" s="15" t="str">
        <x:v>ROMA</x:v>
      </x:c>
      <x:c r="N56" s="16" t="str">
        <x:v>Area anziani locale ricondotta alla macro-area dell'app; confermare la ripartizione.</x:v>
      </x:c>
      <x:c r="O56" s="15" t="str">
        <x:v>9487e092-c771-4b03-8419-d20ab4370ece</x:v>
      </x:c>
    </x:row>
    <x:row r="57">
      <x:c r="A57" s="15" t="str">
        <x:v>Italia</x:v>
      </x:c>
      <x:c r="B57" s="15" t="str">
        <x:v>Roma</x:v>
      </x:c>
      <x:c r="C57" s="15" t="str">
        <x:v>Anziani Roma Sud</x:v>
      </x:c>
      <x:c r="D57" s="15" t="str">
        <x:v>area</x:v>
      </x:c>
      <x:c r="E57" s="15" t="str">
        <x:v>Elisabetta</x:v>
      </x:c>
      <x:c r="F57" s="15" t="str">
        <x:v>Meineri</x:v>
      </x:c>
      <x:c r="G57" s="15" t="str">
        <x:v>elisabettameineri@libero.it</x:v>
      </x:c>
      <x:c r="H57" s="15" t="str"/>
      <x:c r="I57" s="15" t="n">
        <x:v>1</x:v>
      </x:c>
      <x:c r="J57" s="15" t="str">
        <x:v>Aggregato geografico – verificare</x:v>
      </x:c>
      <x:c r="K57" s="15" t="str">
        <x:v>Anziani Trullo</x:v>
      </x:c>
      <x:c r="L57" s="15" t="str">
        <x:v>Anziani Roma</x:v>
      </x:c>
      <x:c r="M57" s="15" t="str">
        <x:v>ROMA</x:v>
      </x:c>
      <x:c r="N57" s="16" t="str">
        <x:v>Area anziani locale ricondotta alla macro-area dell'app; confermare la ripartizione.</x:v>
      </x:c>
      <x:c r="O57" s="15" t="str">
        <x:v>9487e092-c771-4b03-8419-d20ab4370ece</x:v>
      </x:c>
    </x:row>
    <x:row r="58">
      <x:c r="A58" s="15" t="str">
        <x:v>Italia</x:v>
      </x:c>
      <x:c r="B58" s="15" t="str">
        <x:v>Roma</x:v>
      </x:c>
      <x:c r="C58" s="15" t="str">
        <x:v>Anziani Roma Sud-Litorale</x:v>
      </x:c>
      <x:c r="D58" s="15" t="str">
        <x:v>area</x:v>
      </x:c>
      <x:c r="E58" s="15" t="str">
        <x:v>Fulvio</x:v>
      </x:c>
      <x:c r="F58" s="15" t="str">
        <x:v>Ignesti</x:v>
      </x:c>
      <x:c r="G58" s="15" t="str">
        <x:v>fulvioign@gmail.com</x:v>
      </x:c>
      <x:c r="H58" s="15" t="str"/>
      <x:c r="I58" s="15" t="n">
        <x:v>1</x:v>
      </x:c>
      <x:c r="J58" s="15" t="str">
        <x:v>Aggregato geografico – verificare</x:v>
      </x:c>
      <x:c r="K58" s="15" t="str">
        <x:v>Anziani Castelli</x:v>
      </x:c>
      <x:c r="L58" s="15" t="str">
        <x:v>Anziani Roma</x:v>
      </x:c>
      <x:c r="M58" s="15" t="str">
        <x:v>ROMA</x:v>
      </x:c>
      <x:c r="N58" s="16" t="str">
        <x:v>Area anziani locale ricondotta alla macro-area dell'app; confermare la ripartizione.</x:v>
      </x:c>
      <x:c r="O58" s="15" t="str">
        <x:v>0bd1d142-a131-472e-82fd-55ee481f423e</x:v>
      </x:c>
    </x:row>
    <x:row r="59">
      <x:c r="A59" s="15" t="str">
        <x:v>Italia</x:v>
      </x:c>
      <x:c r="B59" s="15" t="str">
        <x:v>Roma</x:v>
      </x:c>
      <x:c r="C59" s="15" t="str">
        <x:v>Anziani Roma Sud-Litorale</x:v>
      </x:c>
      <x:c r="D59" s="15" t="str">
        <x:v>area</x:v>
      </x:c>
      <x:c r="E59" s="15" t="str">
        <x:v>Francesca</x:v>
      </x:c>
      <x:c r="F59" s="15" t="str">
        <x:v>Scambia</x:v>
      </x:c>
      <x:c r="G59" s="15" t="str">
        <x:v>francesca.scambia@gmail.com</x:v>
      </x:c>
      <x:c r="H59" s="15" t="str"/>
      <x:c r="I59" s="15" t="n">
        <x:v>1</x:v>
      </x:c>
      <x:c r="J59" s="15" t="str">
        <x:v>Aggregato geografico – verificare</x:v>
      </x:c>
      <x:c r="K59" s="15" t="str">
        <x:v>Anziani Fiumicino</x:v>
      </x:c>
      <x:c r="L59" s="15" t="str">
        <x:v>Anziani Roma</x:v>
      </x:c>
      <x:c r="M59" s="15" t="str">
        <x:v>ROMA</x:v>
      </x:c>
      <x:c r="N59" s="16" t="str">
        <x:v>Area anziani locale ricondotta alla macro-area dell'app; confermare la ripartizione.</x:v>
      </x:c>
      <x:c r="O59" s="15" t="str">
        <x:v>0bd1d142-a131-472e-82fd-55ee481f423e</x:v>
      </x:c>
    </x:row>
    <x:row r="60">
      <x:c r="A60" s="15" t="str">
        <x:v>Italia</x:v>
      </x:c>
      <x:c r="B60" s="15" t="str">
        <x:v>Roma</x:v>
      </x:c>
      <x:c r="C60" s="15" t="str">
        <x:v>Anziani Roma Sud-Litorale</x:v>
      </x:c>
      <x:c r="D60" s="15" t="str">
        <x:v>area</x:v>
      </x:c>
      <x:c r="E60" s="15" t="str">
        <x:v>Andrea</x:v>
      </x:c>
      <x:c r="F60" s="15" t="str">
        <x:v>Panfili</x:v>
      </x:c>
      <x:c r="G60" s="15" t="str">
        <x:v>andrea.panfili@libero.it</x:v>
      </x:c>
      <x:c r="H60" s="15" t="str"/>
      <x:c r="I60" s="15" t="n">
        <x:v>1</x:v>
      </x:c>
      <x:c r="J60" s="15" t="str">
        <x:v>Aggregato geografico – verificare</x:v>
      </x:c>
      <x:c r="K60" s="15" t="str">
        <x:v>Anziani Ostia</x:v>
      </x:c>
      <x:c r="L60" s="15" t="str">
        <x:v>Anziani Roma</x:v>
      </x:c>
      <x:c r="M60" s="15" t="str">
        <x:v>ROMA</x:v>
      </x:c>
      <x:c r="N60" s="16" t="str">
        <x:v>Area anziani locale ricondotta alla macro-area dell'app; confermare la ripartizione.</x:v>
      </x:c>
      <x:c r="O60" s="15" t="str">
        <x:v>0bd1d142-a131-472e-82fd-55ee481f423e</x:v>
      </x:c>
    </x:row>
    <x:row r="61">
      <x:c r="A61" s="15" t="str">
        <x:v>Italia</x:v>
      </x:c>
      <x:c r="B61" s="15" t="str">
        <x:v>Roma</x:v>
      </x:c>
      <x:c r="C61" s="15" t="str">
        <x:v>Castelli Romani</x:v>
      </x:c>
      <x:c r="D61" s="15" t="str">
        <x:v>area</x:v>
      </x:c>
      <x:c r="E61" s="15" t="str">
        <x:v>Sergio</x:v>
      </x:c>
      <x:c r="F61" s="15" t="str">
        <x:v>Mesolella</x:v>
      </x:c>
      <x:c r="G61" s="15" t="str">
        <x:v>smesolella@gmail.com</x:v>
      </x:c>
      <x:c r="H61" s="15" t="str">
        <x:v>335 837 9239</x:v>
      </x:c>
      <x:c r="I61" s="15" t="n">
        <x:v>1</x:v>
      </x:c>
      <x:c r="J61" s="15" t="str">
        <x:v>Compatibile (nome equivalente)</x:v>
      </x:c>
      <x:c r="K61" s="15" t="str">
        <x:v>Castelli</x:v>
      </x:c>
      <x:c r="L61" s="15" t="str">
        <x:v>Comunità di Roma</x:v>
      </x:c>
      <x:c r="M61" s="15" t="str">
        <x:v>ROMA</x:v>
      </x:c>
      <x:c r="N61" s="16" t="str"/>
      <x:c r="O61" s="15" t="str">
        <x:v>1cb5f667-0b4a-40b3-af0f-8625c1092f70</x:v>
      </x:c>
    </x:row>
    <x:row r="62">
      <x:c r="A62" s="15" t="str">
        <x:v>Italia</x:v>
      </x:c>
      <x:c r="B62" s="15" t="str">
        <x:v>Roma</x:v>
      </x:c>
      <x:c r="C62" s="15" t="str">
        <x:v>Roma CENTRO/MONTEVERDE/OVEST</x:v>
      </x:c>
      <x:c r="D62" s="15" t="str">
        <x:v>area</x:v>
      </x:c>
      <x:c r="E62" s="15" t="str">
        <x:v>Angela</x:v>
      </x:c>
      <x:c r="F62" s="15" t="str">
        <x:v>Chieppa</x:v>
      </x:c>
      <x:c r="G62" s="15" t="str">
        <x:v>angela.chieppa@gmail.com</x:v>
      </x:c>
      <x:c r="H62" s="15" t="str">
        <x:v>347 078 9044</x:v>
      </x:c>
      <x:c r="I62" s="15" t="n">
        <x:v>1</x:v>
      </x:c>
      <x:c r="J62" s="15" t="str">
        <x:v>Aggregato geografico – verificare</x:v>
      </x:c>
      <x:c r="K62" s="15" t="str">
        <x:v>Comunità della mensa</x:v>
      </x:c>
      <x:c r="L62" s="15" t="str">
        <x:v>Comunità di Roma</x:v>
      </x:c>
      <x:c r="M62" s="15" t="str">
        <x:v>ROMA</x:v>
      </x:c>
      <x:c r="N62" s="16" t="str">
        <x:v>Collocazione territoriale da confermare.</x:v>
      </x:c>
      <x:c r="O62" s="15" t="str">
        <x:v>137442c5-060a-49d0-9750-80d5ce277d68</x:v>
      </x:c>
    </x:row>
    <x:row r="63">
      <x:c r="A63" s="15" t="str">
        <x:v>Italia</x:v>
      </x:c>
      <x:c r="B63" s="15" t="str">
        <x:v>Roma</x:v>
      </x:c>
      <x:c r="C63" s="15" t="str">
        <x:v>Roma CENTRO/MONTEVERDE/OVEST</x:v>
      </x:c>
      <x:c r="D63" s="15" t="str">
        <x:v>area</x:v>
      </x:c>
      <x:c r="E63" s="15" t="str">
        <x:v>Chiara</x:v>
      </x:c>
      <x:c r="F63" s="15" t="str">
        <x:v>Inzerilli</x:v>
      </x:c>
      <x:c r="G63" s="15" t="str">
        <x:v>chiarainzerilli@gmail.com</x:v>
      </x:c>
      <x:c r="H63" s="15" t="str">
        <x:v>339 685 9985</x:v>
      </x:c>
      <x:c r="I63" s="15" t="n">
        <x:v>1</x:v>
      </x:c>
      <x:c r="J63" s="15" t="str">
        <x:v>Aggregato geografico – verificare</x:v>
      </x:c>
      <x:c r="K63" s="15" t="str">
        <x:v>Esquilino</x:v>
      </x:c>
      <x:c r="L63" s="15" t="str">
        <x:v>Comunità di Roma</x:v>
      </x:c>
      <x:c r="M63" s="15" t="str">
        <x:v>ROMA</x:v>
      </x:c>
      <x:c r="N63" s="16" t="str">
        <x:v>Area locale ricondotta alla macro-area dell'app.</x:v>
      </x:c>
      <x:c r="O63" s="15" t="str">
        <x:v>137442c5-060a-49d0-9750-80d5ce277d68</x:v>
      </x:c>
    </x:row>
    <x:row r="64">
      <x:c r="A64" s="15" t="str">
        <x:v>Italia</x:v>
      </x:c>
      <x:c r="B64" s="15" t="str">
        <x:v>Roma</x:v>
      </x:c>
      <x:c r="C64" s="15" t="str">
        <x:v>Roma CENTRO/MONTEVERDE/OVEST</x:v>
      </x:c>
      <x:c r="D64" s="15" t="str">
        <x:v>area</x:v>
      </x:c>
      <x:c r="E64" s="15" t="str">
        <x:v>Paola</x:v>
      </x:c>
      <x:c r="F64" s="15" t="str">
        <x:v>Di Consoli</x:v>
      </x:c>
      <x:c r="G64" s="15" t="str">
        <x:v>paoladiconsoli@gmail.com</x:v>
      </x:c>
      <x:c r="H64" s="15" t="str">
        <x:v>333 749 5055</x:v>
      </x:c>
      <x:c r="I64" s="15" t="n">
        <x:v>1</x:v>
      </x:c>
      <x:c r="J64" s="15" t="str">
        <x:v>Aggregato geografico – verificare</x:v>
      </x:c>
      <x:c r="K64" s="15" t="str">
        <x:v>Primavalle</x:v>
      </x:c>
      <x:c r="L64" s="15" t="str">
        <x:v>Comunità di Roma</x:v>
      </x:c>
      <x:c r="M64" s="15" t="str">
        <x:v>ROMA</x:v>
      </x:c>
      <x:c r="N64" s="16" t="str">
        <x:v>Area locale ricondotta alla macro-area dell'app.</x:v>
      </x:c>
      <x:c r="O64" s="15" t="str">
        <x:v>137442c5-060a-49d0-9750-80d5ce277d68</x:v>
      </x:c>
    </x:row>
    <x:row r="65">
      <x:c r="A65" s="15" t="str">
        <x:v>Italia</x:v>
      </x:c>
      <x:c r="B65" s="15" t="str">
        <x:v>Roma</x:v>
      </x:c>
      <x:c r="C65" s="15" t="str">
        <x:v>Roma CENTRO/MONTEVERDE/OVEST</x:v>
      </x:c>
      <x:c r="D65" s="15" t="str">
        <x:v>area</x:v>
      </x:c>
      <x:c r="E65" s="15" t="str">
        <x:v>Angela</x:v>
      </x:c>
      <x:c r="F65" s="15" t="str">
        <x:v>Chieppa</x:v>
      </x:c>
      <x:c r="G65" s="15" t="str">
        <x:v>angela.chieppa@gmail.com</x:v>
      </x:c>
      <x:c r="H65" s="15" t="str">
        <x:v>347 078 9044</x:v>
      </x:c>
      <x:c r="I65" s="15" t="n">
        <x:v>1</x:v>
      </x:c>
      <x:c r="J65" s="15" t="str">
        <x:v>Aggregato geografico – verificare</x:v>
      </x:c>
      <x:c r="K65" s="15" t="str">
        <x:v>Scuola del Vangelo Trastevere</x:v>
      </x:c>
      <x:c r="L65" s="15" t="str">
        <x:v>Comunità di Roma</x:v>
      </x:c>
      <x:c r="M65" s="15" t="str">
        <x:v>ROMA</x:v>
      </x:c>
      <x:c r="N65" s="16" t="str">
        <x:v>Area locale ricondotta alla macro-area dell'app.</x:v>
      </x:c>
      <x:c r="O65" s="15" t="str">
        <x:v>137442c5-060a-49d0-9750-80d5ce277d68</x:v>
      </x:c>
    </x:row>
    <x:row r="66">
      <x:c r="A66" s="15" t="str">
        <x:v>Italia</x:v>
      </x:c>
      <x:c r="B66" s="15" t="str">
        <x:v>Roma</x:v>
      </x:c>
      <x:c r="C66" s="15" t="str">
        <x:v>Roma CENTRO/MONTEVERDE/OVEST</x:v>
      </x:c>
      <x:c r="D66" s="15" t="str">
        <x:v>area</x:v>
      </x:c>
      <x:c r="E66" s="15" t="str">
        <x:v>Cristina</x:v>
      </x:c>
      <x:c r="F66" s="15" t="str">
        <x:v>Huamani</x:v>
      </x:c>
      <x:c r="G66" s="15" t="str">
        <x:v>cristinahuamani@libero.it</x:v>
      </x:c>
      <x:c r="H66" s="15" t="str">
        <x:v>340 854 4433</x:v>
      </x:c>
      <x:c r="I66" s="15" t="n">
        <x:v>1</x:v>
      </x:c>
      <x:c r="J66" s="15" t="str">
        <x:v>Aggregato geografico – verificare</x:v>
      </x:c>
      <x:c r="K66" s="15" t="str">
        <x:v>Trullo Magliana</x:v>
      </x:c>
      <x:c r="L66" s="15" t="str">
        <x:v>Comunità di Roma</x:v>
      </x:c>
      <x:c r="M66" s="15" t="str">
        <x:v>ROMA</x:v>
      </x:c>
      <x:c r="N66" s="16" t="str">
        <x:v>Area locale ricondotta alla macro-area dell'app.</x:v>
      </x:c>
      <x:c r="O66" s="15" t="str">
        <x:v>137442c5-060a-49d0-9750-80d5ce277d68</x:v>
      </x:c>
    </x:row>
    <x:row r="67">
      <x:c r="A67" s="15" t="str">
        <x:v>Italia</x:v>
      </x:c>
      <x:c r="B67" s="15" t="str">
        <x:v>Roma</x:v>
      </x:c>
      <x:c r="C67" s="15" t="str">
        <x:v>Roma Est</x:v>
      </x:c>
      <x:c r="D67" s="15" t="str">
        <x:v>area</x:v>
      </x:c>
      <x:c r="E67" s="15" t="str">
        <x:v>Roberto</x:v>
      </x:c>
      <x:c r="F67" s="15" t="str">
        <x:v>Borzi</x:v>
      </x:c>
      <x:c r="G67" s="15" t="str">
        <x:v>robor53@gmail.com</x:v>
      </x:c>
      <x:c r="H67" s="15" t="str">
        <x:v>392 843 3072</x:v>
      </x:c>
      <x:c r="I67" s="15" t="n">
        <x:v>1</x:v>
      </x:c>
      <x:c r="J67" s="15" t="str">
        <x:v>Aggregato geografico – verificare</x:v>
      </x:c>
      <x:c r="K67" s="15" t="str">
        <x:v>Centocelle Tor Pignattara</x:v>
      </x:c>
      <x:c r="L67" s="15" t="str">
        <x:v>Comunità di Roma</x:v>
      </x:c>
      <x:c r="M67" s="15" t="str">
        <x:v>ROMA</x:v>
      </x:c>
      <x:c r="N67" s="16" t="str">
        <x:v>Area locale ricondotta alla macro-area dell'app.</x:v>
      </x:c>
      <x:c r="O67" s="15" t="str">
        <x:v>03a10052-4184-427b-9c9a-4d2cdb6915c5</x:v>
      </x:c>
    </x:row>
    <x:row r="68">
      <x:c r="A68" s="15" t="str">
        <x:v>Italia</x:v>
      </x:c>
      <x:c r="B68" s="15" t="str">
        <x:v>Roma</x:v>
      </x:c>
      <x:c r="C68" s="15" t="str">
        <x:v>Roma Est</x:v>
      </x:c>
      <x:c r="D68" s="15" t="str">
        <x:v>area</x:v>
      </x:c>
      <x:c r="E68" s="15" t="str">
        <x:v>Chiara</x:v>
      </x:c>
      <x:c r="F68" s="15" t="str">
        <x:v>Mancinelli</x:v>
      </x:c>
      <x:c r="G68" s="15" t="str">
        <x:v>mchiaraman@gmail.com</x:v>
      </x:c>
      <x:c r="H68" s="15" t="str">
        <x:v>338 119 1848</x:v>
      </x:c>
      <x:c r="I68" s="15" t="n">
        <x:v>1</x:v>
      </x:c>
      <x:c r="J68" s="15" t="str">
        <x:v>Aggregato geografico – verificare</x:v>
      </x:c>
      <x:c r="K68" s="15" t="str">
        <x:v>Guidonia Tivoli</x:v>
      </x:c>
      <x:c r="L68" s="15" t="str">
        <x:v>Comunità di Roma</x:v>
      </x:c>
      <x:c r="M68" s="15" t="str">
        <x:v>ROMA</x:v>
      </x:c>
      <x:c r="N68" s="16" t="str">
        <x:v>Area locale ricondotta alla macro-area dell'app.</x:v>
      </x:c>
      <x:c r="O68" s="15" t="str">
        <x:v>03a10052-4184-427b-9c9a-4d2cdb6915c5</x:v>
      </x:c>
    </x:row>
    <x:row r="69">
      <x:c r="A69" s="15" t="str">
        <x:v>Italia</x:v>
      </x:c>
      <x:c r="B69" s="15" t="str">
        <x:v>Roma</x:v>
      </x:c>
      <x:c r="C69" s="15" t="str">
        <x:v>Roma Est</x:v>
      </x:c>
      <x:c r="D69" s="15" t="str">
        <x:v>area</x:v>
      </x:c>
      <x:c r="E69" s="15" t="str">
        <x:v>Rita</x:v>
      </x:c>
      <x:c r="F69" s="15" t="str">
        <x:v>Carta</x:v>
      </x:c>
      <x:c r="G69" s="15" t="str">
        <x:v>ritacarta6@gmail.com</x:v>
      </x:c>
      <x:c r="H69" s="15" t="str">
        <x:v>329 804 5898</x:v>
      </x:c>
      <x:c r="I69" s="15" t="n">
        <x:v>1</x:v>
      </x:c>
      <x:c r="J69" s="15" t="str">
        <x:v>Aggregato geografico – verificare</x:v>
      </x:c>
      <x:c r="K69" s="15" t="str">
        <x:v>Tiburtina</x:v>
      </x:c>
      <x:c r="L69" s="15" t="str">
        <x:v>Comunità di Roma</x:v>
      </x:c>
      <x:c r="M69" s="15" t="str">
        <x:v>ROMA</x:v>
      </x:c>
      <x:c r="N69" s="16" t="str">
        <x:v>Area locale ricondotta alla macro-area dell'app.</x:v>
      </x:c>
      <x:c r="O69" s="15" t="str">
        <x:v>03a10052-4184-427b-9c9a-4d2cdb6915c5</x:v>
      </x:c>
    </x:row>
    <x:row r="70">
      <x:c r="A70" s="15" t="str">
        <x:v>Italia</x:v>
      </x:c>
      <x:c r="B70" s="15" t="str">
        <x:v>Roma</x:v>
      </x:c>
      <x:c r="C70" s="15" t="str">
        <x:v>Roma Est</x:v>
      </x:c>
      <x:c r="D70" s="15" t="str">
        <x:v>area</x:v>
      </x:c>
      <x:c r="E70" s="15" t="str">
        <x:v>Giada</x:v>
      </x:c>
      <x:c r="F70" s="15" t="str">
        <x:v>De Cesaris</x:v>
      </x:c>
      <x:c r="G70" s="15" t="str">
        <x:v>giada412@gmail.com</x:v>
      </x:c>
      <x:c r="H70" s="15" t="str">
        <x:v>392 938 3807</x:v>
      </x:c>
      <x:c r="I70" s="15" t="n">
        <x:v>1</x:v>
      </x:c>
      <x:c r="J70" s="15" t="str">
        <x:v>Aggregato geografico – verificare</x:v>
      </x:c>
      <x:c r="K70" s="15" t="str">
        <x:v>Tor Bella Monaca</x:v>
      </x:c>
      <x:c r="L70" s="15" t="str">
        <x:v>Comunità di Roma</x:v>
      </x:c>
      <x:c r="M70" s="15" t="str">
        <x:v>ROMA</x:v>
      </x:c>
      <x:c r="N70" s="16" t="str">
        <x:v>Area locale ricondotta alla macro-area dell'app.</x:v>
      </x:c>
      <x:c r="O70" s="15" t="str">
        <x:v>03a10052-4184-427b-9c9a-4d2cdb6915c5</x:v>
      </x:c>
    </x:row>
    <x:row r="71">
      <x:c r="A71" s="15" t="str">
        <x:v>Italia</x:v>
      </x:c>
      <x:c r="B71" s="15" t="str">
        <x:v>Roma</x:v>
      </x:c>
      <x:c r="C71" s="15" t="str">
        <x:v>Roma Est</x:v>
      </x:c>
      <x:c r="D71" s="15" t="str">
        <x:v>area</x:v>
      </x:c>
      <x:c r="E71" s="15" t="str">
        <x:v>Maria</x:v>
      </x:c>
      <x:c r="F71" s="15" t="str">
        <x:v>Muià</x:v>
      </x:c>
      <x:c r="G71" s="15" t="str">
        <x:v>maria.muia@libero.it</x:v>
      </x:c>
      <x:c r="H71" s="15" t="str">
        <x:v>335 654 6578</x:v>
      </x:c>
      <x:c r="I71" s="15" t="n">
        <x:v>1</x:v>
      </x:c>
      <x:c r="J71" s="15" t="str">
        <x:v>Aggregato geografico – verificare</x:v>
      </x:c>
      <x:c r="K71" s="15" t="str">
        <x:v>Torrenova</x:v>
      </x:c>
      <x:c r="L71" s="15" t="str">
        <x:v>Comunità di Roma</x:v>
      </x:c>
      <x:c r="M71" s="15" t="str">
        <x:v>ROMA</x:v>
      </x:c>
      <x:c r="N71" s="16" t="str">
        <x:v>Area locale ricondotta alla macro-area dell'app.</x:v>
      </x:c>
      <x:c r="O71" s="15" t="str">
        <x:v>03a10052-4184-427b-9c9a-4d2cdb6915c5</x:v>
      </x:c>
    </x:row>
    <x:row r="72">
      <x:c r="A72" s="15" t="str">
        <x:v>Italia</x:v>
      </x:c>
      <x:c r="B72" s="15" t="str">
        <x:v>Roma</x:v>
      </x:c>
      <x:c r="C72" s="15" t="str">
        <x:v>Roma Est</x:v>
      </x:c>
      <x:c r="D72" s="15" t="str">
        <x:v>area</x:v>
      </x:c>
      <x:c r="E72" s="15" t="str">
        <x:v>Tina</x:v>
      </x:c>
      <x:c r="F72" s="15" t="str">
        <x:v>Bianchi</x:v>
      </x:c>
      <x:c r="G72" s="15" t="str">
        <x:v>nunziabianchi@hotmail.com</x:v>
      </x:c>
      <x:c r="H72" s="15" t="str">
        <x:v>351 341 4991</x:v>
      </x:c>
      <x:c r="I72" s="15" t="n">
        <x:v>1</x:v>
      </x:c>
      <x:c r="J72" s="15" t="str">
        <x:v>Aggregato geografico – verificare</x:v>
      </x:c>
      <x:c r="K72" s="15" t="str">
        <x:v>Tuscolano</x:v>
      </x:c>
      <x:c r="L72" s="15" t="str">
        <x:v>Comunità di Roma</x:v>
      </x:c>
      <x:c r="M72" s="15" t="str">
        <x:v>ROMA</x:v>
      </x:c>
      <x:c r="N72" s="16" t="str">
        <x:v>Area locale ricondotta alla macro-area dell'app.</x:v>
      </x:c>
      <x:c r="O72" s="15" t="str">
        <x:v>03a10052-4184-427b-9c9a-4d2cdb6915c5</x:v>
      </x:c>
    </x:row>
    <x:row r="73">
      <x:c r="A73" s="15" t="str">
        <x:v>Italia</x:v>
      </x:c>
      <x:c r="B73" s="15" t="str">
        <x:v>Roma</x:v>
      </x:c>
      <x:c r="C73" s="15" t="str">
        <x:v>Roma Nord</x:v>
      </x:c>
      <x:c r="D73" s="15" t="str">
        <x:v>area</x:v>
      </x:c>
      <x:c r="E73" s="15" t="str">
        <x:v>Francesco</x:v>
      </x:c>
      <x:c r="F73" s="15" t="str">
        <x:v>De Palma</x:v>
      </x:c>
      <x:c r="G73" s="15" t="str">
        <x:v>francescodepal@yahoo.it</x:v>
      </x:c>
      <x:c r="H73" s="15" t="str">
        <x:v>335 835 0484</x:v>
      </x:c>
      <x:c r="I73" s="15" t="n">
        <x:v>1</x:v>
      </x:c>
      <x:c r="J73" s="15" t="str">
        <x:v>Aggregato geografico – verificare</x:v>
      </x:c>
      <x:c r="K73" s="15" t="str">
        <x:v>Flaminio</x:v>
      </x:c>
      <x:c r="L73" s="15" t="str">
        <x:v>Comunità di Roma</x:v>
      </x:c>
      <x:c r="M73" s="15" t="str">
        <x:v>ROMA</x:v>
      </x:c>
      <x:c r="N73" s="16" t="str">
        <x:v>Area locale ricondotta alla macro-area dell'app.</x:v>
      </x:c>
      <x:c r="O73" s="15" t="str">
        <x:v>25adea97-3fac-4d6a-acfc-decde0a02151</x:v>
      </x:c>
    </x:row>
    <x:row r="74">
      <x:c r="A74" s="15" t="str">
        <x:v>Italia</x:v>
      </x:c>
      <x:c r="B74" s="15" t="str">
        <x:v>Roma</x:v>
      </x:c>
      <x:c r="C74" s="15" t="str">
        <x:v>Roma Nord</x:v>
      </x:c>
      <x:c r="D74" s="15" t="str">
        <x:v>area</x:v>
      </x:c>
      <x:c r="E74" s="15" t="str">
        <x:v>Rita</x:v>
      </x:c>
      <x:c r="F74" s="15" t="str">
        <x:v>Carta</x:v>
      </x:c>
      <x:c r="G74" s="15" t="str">
        <x:v>ritacarta6@gmail.com</x:v>
      </x:c>
      <x:c r="H74" s="15" t="str">
        <x:v>329 804 5898</x:v>
      </x:c>
      <x:c r="I74" s="15" t="n">
        <x:v>1</x:v>
      </x:c>
      <x:c r="J74" s="15" t="str">
        <x:v>Aggregato geografico – verificare</x:v>
      </x:c>
      <x:c r="K74" s="15" t="str">
        <x:v>Nomentano</x:v>
      </x:c>
      <x:c r="L74" s="15" t="str">
        <x:v>Comunità di Roma</x:v>
      </x:c>
      <x:c r="M74" s="15" t="str">
        <x:v>ROMA</x:v>
      </x:c>
      <x:c r="N74" s="16" t="str">
        <x:v>Area locale ricondotta alla macro-area dell'app.</x:v>
      </x:c>
      <x:c r="O74" s="15" t="str">
        <x:v>25adea97-3fac-4d6a-acfc-decde0a02151</x:v>
      </x:c>
    </x:row>
    <x:row r="75">
      <x:c r="A75" s="15" t="str">
        <x:v>Italia</x:v>
      </x:c>
      <x:c r="B75" s="15" t="str">
        <x:v>Roma</x:v>
      </x:c>
      <x:c r="C75" s="15" t="str">
        <x:v>Roma Nord</x:v>
      </x:c>
      <x:c r="D75" s="15" t="str">
        <x:v>area</x:v>
      </x:c>
      <x:c r="E75" s="15" t="str">
        <x:v>Luana</x:v>
      </x:c>
      <x:c r="F75" s="15" t="str">
        <x:v>Virgili</x:v>
      </x:c>
      <x:c r="G75" s="15" t="str">
        <x:v>luanavirgili@gmail.com</x:v>
      </x:c>
      <x:c r="H75" s="15" t="str">
        <x:v>328 355 5031</x:v>
      </x:c>
      <x:c r="I75" s="15" t="n">
        <x:v>1</x:v>
      </x:c>
      <x:c r="J75" s="15" t="str">
        <x:v>Aggregato geografico – verificare</x:v>
      </x:c>
      <x:c r="K75" s="15" t="str">
        <x:v>Prima Porta</x:v>
      </x:c>
      <x:c r="L75" s="15" t="str">
        <x:v>Comunità di Roma</x:v>
      </x:c>
      <x:c r="M75" s="15" t="str">
        <x:v>ROMA</x:v>
      </x:c>
      <x:c r="N75" s="16" t="str">
        <x:v>Area locale ricondotta alla macro-area dell'app.</x:v>
      </x:c>
      <x:c r="O75" s="15" t="str">
        <x:v>25adea97-3fac-4d6a-acfc-decde0a02151</x:v>
      </x:c>
    </x:row>
    <x:row r="76">
      <x:c r="A76" s="15" t="str">
        <x:v>Italia</x:v>
      </x:c>
      <x:c r="B76" s="15" t="str">
        <x:v>Roma</x:v>
      </x:c>
      <x:c r="C76" s="15" t="str">
        <x:v>Roma Nord</x:v>
      </x:c>
      <x:c r="D76" s="15" t="str">
        <x:v>area</x:v>
      </x:c>
      <x:c r="E76" s="15" t="str">
        <x:v>Gabriella</x:v>
      </x:c>
      <x:c r="F76" s="15" t="str">
        <x:v>Flumian</x:v>
      </x:c>
      <x:c r="G76" s="15" t="str">
        <x:v>gapeduto@gmail.com</x:v>
      </x:c>
      <x:c r="H76" s="15" t="str">
        <x:v>348 241 0434</x:v>
      </x:c>
      <x:c r="I76" s="15" t="n">
        <x:v>1</x:v>
      </x:c>
      <x:c r="J76" s="15" t="str">
        <x:v>Aggregato geografico – verificare</x:v>
      </x:c>
      <x:c r="K76" s="15" t="str">
        <x:v>Tufello Serpentara</x:v>
      </x:c>
      <x:c r="L76" s="15" t="str">
        <x:v>Comunità di Roma</x:v>
      </x:c>
      <x:c r="M76" s="15" t="str">
        <x:v>ROMA</x:v>
      </x:c>
      <x:c r="N76" s="16" t="str">
        <x:v>Area locale ricondotta alla macro-area dell'app.</x:v>
      </x:c>
      <x:c r="O76" s="15" t="str">
        <x:v>25adea97-3fac-4d6a-acfc-decde0a02151</x:v>
      </x:c>
    </x:row>
    <x:row r="77">
      <x:c r="A77" s="15" t="str">
        <x:v>Italia</x:v>
      </x:c>
      <x:c r="B77" s="15" t="str">
        <x:v>Roma</x:v>
      </x:c>
      <x:c r="C77" s="15" t="str">
        <x:v>Roma Sud</x:v>
      </x:c>
      <x:c r="D77" s="15" t="str">
        <x:v>area</x:v>
      </x:c>
      <x:c r="E77" s="15" t="str">
        <x:v>Paolo</x:v>
      </x:c>
      <x:c r="F77" s="15" t="str">
        <x:v>Severi</x:v>
      </x:c>
      <x:c r="G77" s="15" t="str">
        <x:v>severipaolo@gmail.com</x:v>
      </x:c>
      <x:c r="H77" s="15" t="str">
        <x:v>333 306 7242</x:v>
      </x:c>
      <x:c r="I77" s="15" t="n">
        <x:v>1</x:v>
      </x:c>
      <x:c r="J77" s="15" t="str">
        <x:v>Aggregato geografico – verificare</x:v>
      </x:c>
      <x:c r="K77" s="15" t="str">
        <x:v>Garbatella</x:v>
      </x:c>
      <x:c r="L77" s="15" t="str">
        <x:v>Comunità di Roma</x:v>
      </x:c>
      <x:c r="M77" s="15" t="str">
        <x:v>ROMA</x:v>
      </x:c>
      <x:c r="N77" s="16" t="str">
        <x:v>Area locale ricondotta alla macro-area dell'app.</x:v>
      </x:c>
      <x:c r="O77" s="15" t="str">
        <x:v>9b6eac94-3584-4250-a564-abf8ce4d5a5e</x:v>
      </x:c>
    </x:row>
    <x:row r="78">
      <x:c r="A78" s="15" t="str">
        <x:v>Italia</x:v>
      </x:c>
      <x:c r="B78" s="15" t="str">
        <x:v>Roma</x:v>
      </x:c>
      <x:c r="C78" s="15" t="str">
        <x:v>Roma Sud</x:v>
      </x:c>
      <x:c r="D78" s="15" t="str">
        <x:v>area</x:v>
      </x:c>
      <x:c r="E78" s="15" t="str">
        <x:v>Barbara</x:v>
      </x:c>
      <x:c r="F78" s="15" t="str">
        <x:v>Cannelli</x:v>
      </x:c>
      <x:c r="G78" s="15" t="str">
        <x:v>barbara.connelli@gmail.com</x:v>
      </x:c>
      <x:c r="H78" s="15" t="str">
        <x:v>328 921 5619</x:v>
      </x:c>
      <x:c r="I78" s="15" t="n">
        <x:v>1</x:v>
      </x:c>
      <x:c r="J78" s="15" t="str">
        <x:v>Aggregato geografico – verificare</x:v>
      </x:c>
      <x:c r="K78" s="15" t="str">
        <x:v>Laurentino</x:v>
      </x:c>
      <x:c r="L78" s="15" t="str">
        <x:v>Comunità di Roma</x:v>
      </x:c>
      <x:c r="M78" s="15" t="str">
        <x:v>ROMA</x:v>
      </x:c>
      <x:c r="N78" s="16" t="str">
        <x:v>Area locale ricondotta alla macro-area dell'app.</x:v>
      </x:c>
      <x:c r="O78" s="15" t="str">
        <x:v>9b6eac94-3584-4250-a564-abf8ce4d5a5e</x:v>
      </x:c>
    </x:row>
    <x:row r="79">
      <x:c r="A79" s="15" t="str">
        <x:v>Italia</x:v>
      </x:c>
      <x:c r="B79" s="15" t="str">
        <x:v>Roma</x:v>
      </x:c>
      <x:c r="C79" s="15" t="str">
        <x:v>Roma Sud</x:v>
      </x:c>
      <x:c r="D79" s="15" t="str">
        <x:v>area</x:v>
      </x:c>
      <x:c r="E79" s="15" t="str">
        <x:v>Gianna</x:v>
      </x:c>
      <x:c r="F79" s="15" t="str">
        <x:v>Nicoletti</x:v>
      </x:c>
      <x:c r="G79" s="15" t="str">
        <x:v>nicoletti.gianna@libero.it</x:v>
      </x:c>
      <x:c r="H79" s="15" t="str">
        <x:v>338 532 8237</x:v>
      </x:c>
      <x:c r="I79" s="15" t="n">
        <x:v>1</x:v>
      </x:c>
      <x:c r="J79" s="15" t="str">
        <x:v>Aggregato geografico – verificare</x:v>
      </x:c>
      <x:c r="K79" s="15" t="str">
        <x:v>San Giovanni Appio</x:v>
      </x:c>
      <x:c r="L79" s="15" t="str">
        <x:v>Comunità di Roma</x:v>
      </x:c>
      <x:c r="M79" s="15" t="str">
        <x:v>ROMA</x:v>
      </x:c>
      <x:c r="N79" s="16" t="str">
        <x:v>Area locale ricondotta alla macro-area dell'app.</x:v>
      </x:c>
      <x:c r="O79" s="15" t="str">
        <x:v>9b6eac94-3584-4250-a564-abf8ce4d5a5e</x:v>
      </x:c>
    </x:row>
    <x:row r="80">
      <x:c r="A80" s="15" t="str">
        <x:v>Italia</x:v>
      </x:c>
      <x:c r="B80" s="15" t="str">
        <x:v>Roma</x:v>
      </x:c>
      <x:c r="C80" s="15" t="str">
        <x:v>Roma Sud</x:v>
      </x:c>
      <x:c r="D80" s="15" t="str">
        <x:v>area</x:v>
      </x:c>
      <x:c r="E80" s="15" t="str">
        <x:v>Barbara</x:v>
      </x:c>
      <x:c r="F80" s="15" t="str">
        <x:v>Cannelli</x:v>
      </x:c>
      <x:c r="G80" s="15" t="str">
        <x:v>barbara.connelli@gmail.com</x:v>
      </x:c>
      <x:c r="H80" s="15" t="str">
        <x:v>328 921 5619</x:v>
      </x:c>
      <x:c r="I80" s="15" t="n">
        <x:v>1</x:v>
      </x:c>
      <x:c r="J80" s="15" t="str">
        <x:v>Aggregato geografico – verificare</x:v>
      </x:c>
      <x:c r="K80" s="15" t="str">
        <x:v>Torrino</x:v>
      </x:c>
      <x:c r="L80" s="15" t="str">
        <x:v>Comunità di Roma</x:v>
      </x:c>
      <x:c r="M80" s="15" t="str">
        <x:v>ROMA</x:v>
      </x:c>
      <x:c r="N80" s="16" t="str">
        <x:v>Area locale ricondotta alla macro-area dell'app.</x:v>
      </x:c>
      <x:c r="O80" s="15" t="str">
        <x:v>9b6eac94-3584-4250-a564-abf8ce4d5a5e</x:v>
      </x:c>
    </x:row>
    <x:row r="81">
      <x:c r="A81" s="15" t="str">
        <x:v>Italia</x:v>
      </x:c>
      <x:c r="B81" s="15" t="str">
        <x:v>Roma</x:v>
      </x:c>
      <x:c r="C81" s="15" t="str">
        <x:v>Roma Sud-Litorale</x:v>
      </x:c>
      <x:c r="D81" s="15" t="str">
        <x:v>area</x:v>
      </x:c>
      <x:c r="E81" s="15" t="str">
        <x:v>Massimo</x:v>
      </x:c>
      <x:c r="F81" s="15" t="str">
        <x:v>Magnano</x:v>
      </x:c>
      <x:c r="G81" s="15" t="str">
        <x:v>massimo.magnano@gmail.com</x:v>
      </x:c>
      <x:c r="H81" s="15" t="str">
        <x:v>328 856 6420</x:v>
      </x:c>
      <x:c r="I81" s="15" t="n">
        <x:v>1</x:v>
      </x:c>
      <x:c r="J81" s="15" t="str">
        <x:v>Aggregato geografico – verificare</x:v>
      </x:c>
      <x:c r="K81" s="15" t="str">
        <x:v>Civitavecchia</x:v>
      </x:c>
      <x:c r="L81" s="15" t="str">
        <x:v>Comunità di Roma</x:v>
      </x:c>
      <x:c r="M81" s="15" t="str">
        <x:v>ROMA</x:v>
      </x:c>
      <x:c r="N81" s="16" t="str">
        <x:v>Collocazione nel raggruppamento litorale da confermare.</x:v>
      </x:c>
      <x:c r="O81" s="15" t="str">
        <x:v>5466a8bd-360a-437a-9b00-9070f61899ac</x:v>
      </x:c>
    </x:row>
    <x:row r="82">
      <x:c r="A82" s="15" t="str">
        <x:v>Italia</x:v>
      </x:c>
      <x:c r="B82" s="15" t="str">
        <x:v>Roma</x:v>
      </x:c>
      <x:c r="C82" s="15" t="str">
        <x:v>Roma Sud-Litorale</x:v>
      </x:c>
      <x:c r="D82" s="15" t="str">
        <x:v>area</x:v>
      </x:c>
      <x:c r="E82" s="15" t="str">
        <x:v>Francesca</x:v>
      </x:c>
      <x:c r="F82" s="15" t="str">
        <x:v>Scambia</x:v>
      </x:c>
      <x:c r="G82" s="15" t="str">
        <x:v>francesca.scambia@gmail.com</x:v>
      </x:c>
      <x:c r="H82" s="15" t="str">
        <x:v>348 775 7419</x:v>
      </x:c>
      <x:c r="I82" s="15" t="n">
        <x:v>1</x:v>
      </x:c>
      <x:c r="J82" s="15" t="str">
        <x:v>Aggregato geografico – verificare</x:v>
      </x:c>
      <x:c r="K82" s="15" t="str">
        <x:v>Fiumicino</x:v>
      </x:c>
      <x:c r="L82" s="15" t="str">
        <x:v>Comunità di Roma</x:v>
      </x:c>
      <x:c r="M82" s="15" t="str">
        <x:v>ROMA</x:v>
      </x:c>
      <x:c r="N82" s="16" t="str">
        <x:v>Area locale ricondotta alla macro-area dell'app.</x:v>
      </x:c>
      <x:c r="O82" s="15" t="str">
        <x:v>5466a8bd-360a-437a-9b00-9070f61899ac</x:v>
      </x:c>
    </x:row>
    <x:row r="83">
      <x:c r="A83" s="15" t="str">
        <x:v>Italia</x:v>
      </x:c>
      <x:c r="B83" s="15" t="str">
        <x:v>Roma</x:v>
      </x:c>
      <x:c r="C83" s="15" t="str">
        <x:v>Roma Sud-Litorale</x:v>
      </x:c>
      <x:c r="D83" s="15" t="str">
        <x:v>area</x:v>
      </x:c>
      <x:c r="E83" s="15" t="str">
        <x:v>Giuseppe</x:v>
      </x:c>
      <x:c r="F83" s="15" t="str">
        <x:v>Mangeruga</x:v>
      </x:c>
      <x:c r="G83" s="15" t="str">
        <x:v>giuseppe.mangeruga@gmail.com</x:v>
      </x:c>
      <x:c r="H83" s="15" t="str">
        <x:v>392 790 3993</x:v>
      </x:c>
      <x:c r="I83" s="15" t="n">
        <x:v>1</x:v>
      </x:c>
      <x:c r="J83" s="15" t="str">
        <x:v>Aggregato geografico – verificare</x:v>
      </x:c>
      <x:c r="K83" s="15" t="str">
        <x:v>Ostia</x:v>
      </x:c>
      <x:c r="L83" s="15" t="str">
        <x:v>Comunità di Roma</x:v>
      </x:c>
      <x:c r="M83" s="15" t="str">
        <x:v>ROMA</x:v>
      </x:c>
      <x:c r="N83" s="16" t="str">
        <x:v>Area locale ricondotta alla macro-area dell'app.</x:v>
      </x:c>
      <x:c r="O83" s="15" t="str">
        <x:v>5466a8bd-360a-437a-9b00-9070f61899ac</x:v>
      </x:c>
    </x:row>
    <x:row r="84">
      <x:c r="A84" s="15" t="str">
        <x:v>Italia</x:v>
      </x:c>
      <x:c r="B84" s="15" t="str">
        <x:v>Roma</x:v>
      </x:c>
      <x:c r="C84" s="15" t="str">
        <x:v>Assemblea di Trastevere</x:v>
      </x:c>
      <x:c r="D84" s="15" t="str">
        <x:v>area</x:v>
      </x:c>
      <x:c r="E84" s="15" t="str">
        <x:v>Matteo</x:v>
      </x:c>
      <x:c r="F84" s="15" t="str">
        <x:v>Bottazzi</x:v>
      </x:c>
      <x:c r="G84" s="15" t="str">
        <x:v>bottazzi77@hotmail.com</x:v>
      </x:c>
      <x:c r="H84" s="15" t="str"/>
      <x:c r="I84" s="15" t="n">
        <x:v>1</x:v>
      </x:c>
      <x:c r="J84" s="15" t="str">
        <x:v>Esatto</x:v>
      </x:c>
      <x:c r="K84" s="15" t="str">
        <x:v>Assemblea di Trastevere</x:v>
      </x:c>
      <x:c r="L84" s="15" t="str"/>
      <x:c r="M84" s="15" t="str">
        <x:v>ROMA</x:v>
      </x:c>
      <x:c r="N84" s="16" t="str"/>
      <x:c r="O84" s="15" t="str">
        <x:v>87955386-cbd2-470c-bbde-3f4987012c49</x:v>
      </x:c>
    </x:row>
    <x:row r="85">
      <x:c r="A85" s="15" t="str">
        <x:v>Italia</x:v>
      </x:c>
      <x:c r="B85" s="15" t="str">
        <x:v>Roma</x:v>
      </x:c>
      <x:c r="C85" s="15" t="str">
        <x:v>Assemblea di Trastevere</x:v>
      </x:c>
      <x:c r="D85" s="15" t="str">
        <x:v>area</x:v>
      </x:c>
      <x:c r="E85" s="15" t="str">
        <x:v>Paola</x:v>
      </x:c>
      <x:c r="F85" s="15" t="str">
        <x:v>Starocci</x:v>
      </x:c>
      <x:c r="G85" s="15" t="str">
        <x:v>paolastarocci@libero.it</x:v>
      </x:c>
      <x:c r="H85" s="15" t="str"/>
      <x:c r="I85" s="15" t="n">
        <x:v>2</x:v>
      </x:c>
      <x:c r="J85" s="15" t="str">
        <x:v>Esatto</x:v>
      </x:c>
      <x:c r="K85" s="15" t="str">
        <x:v>Assemblea di Trastevere</x:v>
      </x:c>
      <x:c r="L85" s="15" t="str"/>
      <x:c r="M85" s="15" t="str">
        <x:v>ROMA</x:v>
      </x:c>
      <x:c r="N85" s="16" t="str"/>
      <x:c r="O85" s="15" t="str">
        <x:v>87955386-cbd2-470c-bbde-3f4987012c49</x:v>
      </x:c>
    </x:row>
    <x:row r="86">
      <x:c r="A86" s="15" t="str">
        <x:v>Italia</x:v>
      </x:c>
      <x:c r="B86" s="15" t="str">
        <x:v>Roma</x:v>
      </x:c>
      <x:c r="C86" s="15" t="str">
        <x:v>Genti di Pace - Scuola</x:v>
      </x:c>
      <x:c r="D86" s="15" t="str">
        <x:v>area</x:v>
      </x:c>
      <x:c r="E86" s="15" t="str">
        <x:v>Daniela</x:v>
      </x:c>
      <x:c r="F86" s="15" t="str">
        <x:v>Moretti</x:v>
      </x:c>
      <x:c r="G86" s="15" t="str">
        <x:v>morettidaniela@hotmail.com</x:v>
      </x:c>
      <x:c r="H86" s="15" t="str"/>
      <x:c r="I86" s="15" t="n">
        <x:v>1</x:v>
      </x:c>
      <x:c r="J86" s="15" t="str">
        <x:v>Compatibile (nome equivalente)</x:v>
      </x:c>
      <x:c r="K86" s="15" t="str">
        <x:v>GDP Scuola</x:v>
      </x:c>
      <x:c r="L86" s="15" t="str">
        <x:v>Genti di Pace</x:v>
      </x:c>
      <x:c r="M86" s="15" t="str">
        <x:v>ROMA</x:v>
      </x:c>
      <x:c r="N86" s="16" t="str"/>
      <x:c r="O86" s="15" t="str">
        <x:v>31caa100-abd4-4a09-bd08-5e3553c63c20</x:v>
      </x:c>
    </x:row>
    <x:row r="87">
      <x:c r="A87" s="15" t="str"/>
      <x:c r="B87" s="15" t="str"/>
      <x:c r="C87" s="15" t="str"/>
      <x:c r="D87" s="15" t="str"/>
      <x:c r="E87" s="15" t="str">
        <x:v>Giuliana</x:v>
      </x:c>
      <x:c r="F87" s="15" t="str">
        <x:v>Scipioni</x:v>
      </x:c>
      <x:c r="G87" s="15" t="str">
        <x:v>giulianascipioni@gmail.com</x:v>
      </x:c>
      <x:c r="H87" s="15" t="str"/>
      <x:c r="I87" s="15" t="n">
        <x:v>1</x:v>
      </x:c>
      <x:c r="J87" s="15" t="str">
        <x:v>Non abbinato</x:v>
      </x:c>
      <x:c r="K87" s="15" t="str">
        <x:v>Amici San Bartolomeo</x:v>
      </x:c>
      <x:c r="L87" s="15" t="str"/>
      <x:c r="M87" s="15" t="str">
        <x:v>ROMA</x:v>
      </x:c>
      <x:c r="N87" s="16" t="str">
        <x:v>Nessun nodo corrispondente individuato nel catalogo attivo dell'app.</x:v>
      </x:c>
      <x:c r="O87" s="15" t="str"/>
    </x:row>
    <x:row r="88">
      <x:c r="A88" s="15" t="str"/>
      <x:c r="B88" s="15" t="str"/>
      <x:c r="C88" s="15" t="str"/>
      <x:c r="D88" s="15" t="str"/>
      <x:c r="E88" s="15" t="str">
        <x:v>Sergio</x:v>
      </x:c>
      <x:c r="F88" s="15" t="str">
        <x:v>Rivabene</x:v>
      </x:c>
      <x:c r="G88" s="15" t="str">
        <x:v>sergiorivabene@gmail.com</x:v>
      </x:c>
      <x:c r="H88" s="15" t="str"/>
      <x:c r="I88" s="15" t="n">
        <x:v>1</x:v>
      </x:c>
      <x:c r="J88" s="15" t="str">
        <x:v>Non abbinato</x:v>
      </x:c>
      <x:c r="K88" s="15" t="str">
        <x:v>Amici Sant'Egidio</x:v>
      </x:c>
      <x:c r="L88" s="15" t="str"/>
      <x:c r="M88" s="15" t="str">
        <x:v>ROMA</x:v>
      </x:c>
      <x:c r="N88" s="16" t="str">
        <x:v>Nessun nodo corrispondente individuato nel catalogo attivo dell'app.</x:v>
      </x:c>
      <x:c r="O88" s="15" t="str"/>
    </x:row>
    <x:row r="89">
      <x:c r="A89" s="15" t="str"/>
      <x:c r="B89" s="15" t="str"/>
      <x:c r="C89" s="15" t="str"/>
      <x:c r="D89" s="15" t="str"/>
      <x:c r="E89" s="15" t="str">
        <x:v>Giovanna</x:v>
      </x:c>
      <x:c r="F89" s="15" t="str">
        <x:v>Sisti</x:v>
      </x:c>
      <x:c r="G89" s="15" t="str">
        <x:v>giosisti@gmail.com</x:v>
      </x:c>
      <x:c r="H89" s="15" t="str"/>
      <x:c r="I89" s="15" t="n">
        <x:v>1</x:v>
      </x:c>
      <x:c r="J89" s="15" t="str">
        <x:v>Non abbinato</x:v>
      </x:c>
      <x:c r="K89" s="15" t="str">
        <x:v>Anziani Serpentara Prima Porta e San Basilio</x:v>
      </x:c>
      <x:c r="L89" s="15" t="str">
        <x:v>Anziani Roma</x:v>
      </x:c>
      <x:c r="M89" s="15" t="str">
        <x:v>ROMA</x:v>
      </x:c>
      <x:c r="N89" s="16" t="str">
        <x:v>Nessun nodo corrispondente individuato nel catalogo attivo dell'app.</x:v>
      </x:c>
      <x:c r="O89" s="15" t="str"/>
    </x:row>
    <x:row r="90">
      <x:c r="A90" s="15" t="str"/>
      <x:c r="B90" s="15" t="str"/>
      <x:c r="C90" s="15" t="str"/>
      <x:c r="D90" s="15" t="str"/>
      <x:c r="E90" s="15" t="str">
        <x:v>Gianmatteo</x:v>
      </x:c>
      <x:c r="F90" s="15" t="str">
        <x:v>Sabatino</x:v>
      </x:c>
      <x:c r="G90" s="15" t="str">
        <x:v>gianmatteo.sabatino6@gmail.com</x:v>
      </x:c>
      <x:c r="H90" s="15" t="str"/>
      <x:c r="I90" s="15" t="n">
        <x:v>1</x:v>
      </x:c>
      <x:c r="J90" s="15" t="str">
        <x:v>Non abbinato</x:v>
      </x:c>
      <x:c r="K90" s="15" t="str">
        <x:v>CAGLIARI</x:v>
      </x:c>
      <x:c r="L90" s="15" t="str"/>
      <x:c r="M90" s="15" t="str">
        <x:v>ITALIA - eccetto Roma</x:v>
      </x:c>
      <x:c r="N90" s="16" t="str">
        <x:v>Nessun nodo corrispondente individuato nel catalogo attivo dell'app.</x:v>
      </x:c>
      <x:c r="O90" s="15" t="str"/>
    </x:row>
    <x:row r="91">
      <x:c r="A91" s="15" t="str"/>
      <x:c r="B91" s="15" t="str"/>
      <x:c r="C91" s="15" t="str"/>
      <x:c r="D91" s="15" t="str"/>
      <x:c r="E91" s="15" t="str">
        <x:v>Kristina</x:v>
      </x:c>
      <x:c r="F91" s="15" t="str">
        <x:v>Koldinská</x:v>
      </x:c>
      <x:c r="G91" s="15" t="str">
        <x:v>kristina.koldinska@gmail.com</x:v>
      </x:c>
      <x:c r="H91" s="15" t="str"/>
      <x:c r="I91" s="15" t="n">
        <x:v>1</x:v>
      </x:c>
      <x:c r="J91" s="15" t="str">
        <x:v>Non abbinato</x:v>
      </x:c>
      <x:c r="K91" s="15" t="str">
        <x:v>Cechia</x:v>
      </x:c>
      <x:c r="L91" s="15" t="str"/>
      <x:c r="M91" s="15" t="str">
        <x:v>ALTRI paesi</x:v>
      </x:c>
      <x:c r="N91" s="16" t="str">
        <x:v>Nessun nodo corrispondente individuato nel catalogo attivo dell'app.</x:v>
      </x:c>
      <x:c r="O91" s="15" t="str"/>
    </x:row>
    <x:row r="92">
      <x:c r="A92" s="15" t="str"/>
      <x:c r="B92" s="15" t="str"/>
      <x:c r="C92" s="15" t="str"/>
      <x:c r="D92" s="15" t="str"/>
      <x:c r="E92" s="15" t="str">
        <x:v>Serena</x:v>
      </x:c>
      <x:c r="F92" s="15" t="str">
        <x:v>Fabbrini</x:v>
      </x:c>
      <x:c r="G92" s="15" t="str">
        <x:v>serenafabbrini@hotmail.com</x:v>
      </x:c>
      <x:c r="H92" s="15" t="str"/>
      <x:c r="I92" s="15" t="n">
        <x:v>1</x:v>
      </x:c>
      <x:c r="J92" s="15" t="str">
        <x:v>Non abbinato</x:v>
      </x:c>
      <x:c r="K92" s="15" t="str">
        <x:v>FIRENZE</x:v>
      </x:c>
      <x:c r="L92" s="15" t="str"/>
      <x:c r="M92" s="15" t="str">
        <x:v>ITALIA - eccetto Roma</x:v>
      </x:c>
      <x:c r="N92" s="16" t="str">
        <x:v>Nessun nodo corrispondente individuato nel catalogo attivo dell'app.</x:v>
      </x:c>
      <x:c r="O92" s="15" t="str"/>
    </x:row>
    <x:row r="93">
      <x:c r="A93" s="15" t="str"/>
      <x:c r="B93" s="15" t="str"/>
      <x:c r="C93" s="15" t="str"/>
      <x:c r="D93" s="15" t="str"/>
      <x:c r="E93" s="15" t="str">
        <x:v>Anna</x:v>
      </x:c>
      <x:c r="F93" s="15" t="str">
        <x:v>Marchei</x:v>
      </x:c>
      <x:c r="G93" s="15" t="str">
        <x:v>annamarchei@gmail.com</x:v>
      </x:c>
      <x:c r="H93" s="15" t="str"/>
      <x:c r="I93" s="15" t="n">
        <x:v>2</x:v>
      </x:c>
      <x:c r="J93" s="15" t="str">
        <x:v>Non abbinato</x:v>
      </x:c>
      <x:c r="K93" s="15" t="str">
        <x:v>GDP</x:v>
      </x:c>
      <x:c r="L93" s="15" t="str">
        <x:v>Genti di Pace</x:v>
      </x:c>
      <x:c r="M93" s="15" t="str">
        <x:v>ROMA</x:v>
      </x:c>
      <x:c r="N93" s="16" t="str">
        <x:v>Nessun nodo corrispondente individuato nel catalogo attivo dell'app.</x:v>
      </x:c>
      <x:c r="O93" s="15" t="str"/>
    </x:row>
    <x:row r="94">
      <x:c r="A94" s="15" t="str"/>
      <x:c r="B94" s="15" t="str"/>
      <x:c r="C94" s="15" t="str"/>
      <x:c r="D94" s="15" t="str"/>
      <x:c r="E94" s="15" t="str">
        <x:v>Cecilia</x:v>
      </x:c>
      <x:c r="F94" s="15" t="str">
        <x:v>Pani</x:v>
      </x:c>
      <x:c r="G94" s="15" t="str">
        <x:v>cecilia.pani@gmail.com</x:v>
      </x:c>
      <x:c r="H94" s="15" t="str"/>
      <x:c r="I94" s="15" t="n">
        <x:v>1</x:v>
      </x:c>
      <x:c r="J94" s="15" t="str">
        <x:v>Non abbinato</x:v>
      </x:c>
      <x:c r="K94" s="15" t="str">
        <x:v>GDP</x:v>
      </x:c>
      <x:c r="L94" s="15" t="str">
        <x:v>Genti di Pace</x:v>
      </x:c>
      <x:c r="M94" s="15" t="str">
        <x:v>ROMA</x:v>
      </x:c>
      <x:c r="N94" s="16" t="str">
        <x:v>Nessun nodo corrispondente individuato nel catalogo attivo dell'app.</x:v>
      </x:c>
      <x:c r="O94" s="15" t="str"/>
    </x:row>
    <x:row r="95">
      <x:c r="A95" s="15" t="str"/>
      <x:c r="B95" s="15" t="str"/>
      <x:c r="C95" s="15" t="str"/>
      <x:c r="D95" s="15" t="str"/>
      <x:c r="E95" s="15" t="str">
        <x:v>Fabrizio</x:v>
      </x:c>
      <x:c r="F95" s="15" t="str">
        <x:v>Bonanni</x:v>
      </x:c>
      <x:c r="G95" s="15" t="str">
        <x:v>fabriziobonanni15@gmail.com</x:v>
      </x:c>
      <x:c r="H95" s="15" t="str"/>
      <x:c r="I95" s="15" t="n">
        <x:v>1</x:v>
      </x:c>
      <x:c r="J95" s="15" t="str">
        <x:v>Non abbinato</x:v>
      </x:c>
      <x:c r="K95" s="15" t="str">
        <x:v>GENOVA</x:v>
      </x:c>
      <x:c r="L95" s="15" t="str"/>
      <x:c r="M95" s="15" t="str">
        <x:v>ITALIA - eccetto Roma</x:v>
      </x:c>
      <x:c r="N95" s="16" t="str">
        <x:v>Nessun nodo corrispondente individuato nel catalogo attivo dell'app.</x:v>
      </x:c>
      <x:c r="O95" s="15" t="str"/>
    </x:row>
    <x:row r="96">
      <x:c r="A96" s="15" t="str"/>
      <x:c r="B96" s="15" t="str"/>
      <x:c r="C96" s="15" t="str"/>
      <x:c r="D96" s="15" t="str"/>
      <x:c r="E96" s="15" t="str">
        <x:v>Silvia</x:v>
      </x:c>
      <x:c r="F96" s="15" t="str">
        <x:v>Pellino</x:v>
      </x:c>
      <x:c r="G96" s="15" t="str">
        <x:v>pellins74@gmail.com</x:v>
      </x:c>
      <x:c r="H96" s="15" t="str"/>
      <x:c r="I96" s="15" t="n">
        <x:v>1</x:v>
      </x:c>
      <x:c r="J96" s="15" t="str">
        <x:v>Non abbinato</x:v>
      </x:c>
      <x:c r="K96" s="15" t="str">
        <x:v>LIVORNO E PISA</x:v>
      </x:c>
      <x:c r="L96" s="15" t="str"/>
      <x:c r="M96" s="15" t="str">
        <x:v>ITALIA - eccetto Roma</x:v>
      </x:c>
      <x:c r="N96" s="16" t="str">
        <x:v>Nessun nodo corrispondente individuato nel catalogo attivo dell'app.</x:v>
      </x:c>
      <x:c r="O96" s="15" t="str"/>
    </x:row>
    <x:row r="97">
      <x:c r="A97" s="15" t="str"/>
      <x:c r="B97" s="15" t="str"/>
      <x:c r="C97" s="15" t="str"/>
      <x:c r="D97" s="15" t="str"/>
      <x:c r="E97" s="15" t="str">
        <x:v>Emanuela</x:v>
      </x:c>
      <x:c r="F97" s="15" t="str">
        <x:v>Russo</x:v>
      </x:c>
      <x:c r="G97" s="15" t="str">
        <x:v>emanuela@santegidio.org.uk</x:v>
      </x:c>
      <x:c r="H97" s="15" t="str"/>
      <x:c r="I97" s="15" t="n">
        <x:v>1</x:v>
      </x:c>
      <x:c r="J97" s="15" t="str">
        <x:v>Non abbinato</x:v>
      </x:c>
      <x:c r="K97" s="15" t="str">
        <x:v>Londra</x:v>
      </x:c>
      <x:c r="L97" s="15" t="str"/>
      <x:c r="M97" s="15" t="str">
        <x:v>ALTRI paesi</x:v>
      </x:c>
      <x:c r="N97" s="16" t="str">
        <x:v>Nessun nodo corrispondente individuato nel catalogo attivo dell'app.</x:v>
      </x:c>
      <x:c r="O97" s="15" t="str"/>
    </x:row>
    <x:row r="98">
      <x:c r="A98" s="15" t="str"/>
      <x:c r="B98" s="15" t="str"/>
      <x:c r="C98" s="15" t="str"/>
      <x:c r="D98" s="15" t="str"/>
      <x:c r="E98" s="15" t="str">
        <x:v>Anne Catherine</x:v>
      </x:c>
      <x:c r="F98" s="15" t="str">
        <x:v>Reymond</x:v>
      </x:c>
      <x:c r="G98" s="15" t="str">
        <x:v>santegidio.lausanne@gmail.com</x:v>
      </x:c>
      <x:c r="H98" s="15" t="str"/>
      <x:c r="I98" s="15" t="n">
        <x:v>1</x:v>
      </x:c>
      <x:c r="J98" s="15" t="str">
        <x:v>Non abbinato</x:v>
      </x:c>
      <x:c r="K98" s="15" t="str">
        <x:v>Losanna</x:v>
      </x:c>
      <x:c r="L98" s="15" t="str"/>
      <x:c r="M98" s="15" t="str">
        <x:v>ALTRI paesi</x:v>
      </x:c>
      <x:c r="N98" s="16" t="str">
        <x:v>Nessun nodo corrispondente individuato nel catalogo attivo dell'app.</x:v>
      </x:c>
      <x:c r="O98" s="15" t="str"/>
    </x:row>
    <x:row r="99">
      <x:c r="A99" s="15" t="str"/>
      <x:c r="B99" s="15" t="str"/>
      <x:c r="C99" s="15" t="str"/>
      <x:c r="D99" s="15" t="str"/>
      <x:c r="E99" s="15" t="str">
        <x:v>Nicoletta</x:v>
      </x:c>
      <x:c r="F99" s="15" t="str">
        <x:v>D'Alessandro</x:v>
      </x:c>
      <x:c r="G99" s="15" t="str">
        <x:v>nicolettadal@hotmail.com</x:v>
      </x:c>
      <x:c r="H99" s="15" t="str"/>
      <x:c r="I99" s="15" t="n">
        <x:v>1</x:v>
      </x:c>
      <x:c r="J99" s="15" t="str">
        <x:v>Non abbinato</x:v>
      </x:c>
      <x:c r="K99" s="15" t="str">
        <x:v>Mosca Ucraina</x:v>
      </x:c>
      <x:c r="L99" s="15" t="str"/>
      <x:c r="M99" s="15" t="str">
        <x:v>ALTRI paesi</x:v>
      </x:c>
      <x:c r="N99" s="16" t="str">
        <x:v>Nessun nodo corrispondente individuato nel catalogo attivo dell'app.</x:v>
      </x:c>
      <x:c r="O99" s="15" t="str"/>
    </x:row>
    <x:row r="100">
      <x:c r="A100" s="15" t="str"/>
      <x:c r="B100" s="15" t="str"/>
      <x:c r="C100" s="15" t="str"/>
      <x:c r="D100" s="15" t="str"/>
      <x:c r="E100" s="15" t="str">
        <x:v>Renzo</x:v>
      </x:c>
      <x:c r="F100" s="15" t="str">
        <x:v>Messina</x:v>
      </x:c>
      <x:c r="G100" s="15" t="str">
        <x:v>lorenzomessina67@gmail.com</x:v>
      </x:c>
      <x:c r="H100" s="15" t="str"/>
      <x:c r="I100" s="15" t="n">
        <x:v>1</x:v>
      </x:c>
      <x:c r="J100" s="15" t="str">
        <x:v>Non abbinato</x:v>
      </x:c>
      <x:c r="K100" s="15" t="str">
        <x:v>PALERMO</x:v>
      </x:c>
      <x:c r="L100" s="15" t="str"/>
      <x:c r="M100" s="15" t="str">
        <x:v>ITALIA - eccetto Roma</x:v>
      </x:c>
      <x:c r="N100" s="16" t="str">
        <x:v>Nessun nodo corrispondente individuato nel catalogo attivo dell'app.</x:v>
      </x:c>
      <x:c r="O100" s="15" t="str"/>
    </x:row>
    <x:row r="101">
      <x:c r="A101" s="15" t="str"/>
      <x:c r="B101" s="15" t="str"/>
      <x:c r="C101" s="15" t="str"/>
      <x:c r="D101" s="15" t="str"/>
      <x:c r="E101" s="15" t="str">
        <x:v>Paola</x:v>
      </x:c>
      <x:c r="F101" s="15" t="str">
        <x:v>Treppiedi</x:v>
      </x:c>
      <x:c r="G101" s="15" t="str">
        <x:v>patreppi@hotmail.it</x:v>
      </x:c>
      <x:c r="H101" s="15" t="str"/>
      <x:c r="I101" s="15" t="n">
        <x:v>2</x:v>
      </x:c>
      <x:c r="J101" s="15" t="str">
        <x:v>Non abbinato</x:v>
      </x:c>
      <x:c r="K101" s="15" t="str">
        <x:v>PALERMO</x:v>
      </x:c>
      <x:c r="L101" s="15" t="str"/>
      <x:c r="M101" s="15" t="str">
        <x:v>ITALIA - eccetto Roma</x:v>
      </x:c>
      <x:c r="N101" s="16" t="str">
        <x:v>Nessun nodo corrispondente individuato nel catalogo attivo dell'app.</x:v>
      </x:c>
      <x:c r="O101" s="15" t="str"/>
    </x:row>
    <x:row r="102">
      <x:c r="A102" s="15" t="str"/>
      <x:c r="B102" s="15" t="str"/>
      <x:c r="C102" s="15" t="str"/>
      <x:c r="D102" s="15" t="str"/>
      <x:c r="E102" s="15" t="str">
        <x:v>Bruno</x:v>
      </x:c>
      <x:c r="F102" s="15" t="str">
        <x:v>Scaltriti</x:v>
      </x:c>
      <x:c r="G102" s="15" t="str">
        <x:v>brunoscaltriti@gmail.com</x:v>
      </x:c>
      <x:c r="H102" s="15" t="str"/>
      <x:c r="I102" s="15" t="n">
        <x:v>1</x:v>
      </x:c>
      <x:c r="J102" s="15" t="str">
        <x:v>Non abbinato</x:v>
      </x:c>
      <x:c r="K102" s="15" t="str">
        <x:v>PARMA reggio emilia</x:v>
      </x:c>
      <x:c r="L102" s="15" t="str"/>
      <x:c r="M102" s="15" t="str">
        <x:v>ITALIA - eccetto Roma</x:v>
      </x:c>
      <x:c r="N102" s="16" t="str">
        <x:v>Nessun nodo corrispondente individuato nel catalogo attivo dell'app.</x:v>
      </x:c>
      <x:c r="O102" s="15" t="str"/>
    </x:row>
    <x:row r="103">
      <x:c r="A103" s="15" t="str"/>
      <x:c r="B103" s="15" t="str"/>
      <x:c r="C103" s="15" t="str"/>
      <x:c r="D103" s="15" t="str"/>
      <x:c r="E103" s="15" t="str">
        <x:v>Giorgio</x:v>
      </x:c>
      <x:c r="F103" s="15" t="str">
        <x:v>Musso</x:v>
      </x:c>
      <x:c r="G103" s="15" t="str">
        <x:v>giomusso@gmail.com</x:v>
      </x:c>
      <x:c r="H103" s="15" t="str"/>
      <x:c r="I103" s="15" t="n">
        <x:v>1</x:v>
      </x:c>
      <x:c r="J103" s="15" t="str">
        <x:v>Non abbinato</x:v>
      </x:c>
      <x:c r="K103" s="15" t="str">
        <x:v>PAVIA</x:v>
      </x:c>
      <x:c r="L103" s="15" t="str"/>
      <x:c r="M103" s="15" t="str">
        <x:v>ITALIA - eccetto Roma</x:v>
      </x:c>
      <x:c r="N103" s="16" t="str">
        <x:v>Nessun nodo corrispondente individuato nel catalogo attivo dell'app.</x:v>
      </x:c>
      <x:c r="O103" s="15" t="str"/>
    </x:row>
    <x:row r="104">
      <x:c r="A104" s="15" t="str"/>
      <x:c r="B104" s="15" t="str"/>
      <x:c r="C104" s="15" t="str"/>
      <x:c r="D104" s="15" t="str"/>
      <x:c r="E104" s="15" t="str">
        <x:v>Valerio</x:v>
      </x:c>
      <x:c r="F104" s="15" t="str">
        <x:v>De Cesaris</x:v>
      </x:c>
      <x:c r="G104" s="15" t="str">
        <x:v>valeriodecesaris@gmail.com</x:v>
      </x:c>
      <x:c r="H104" s="15" t="str"/>
      <x:c r="I104" s="15" t="n">
        <x:v>1</x:v>
      </x:c>
      <x:c r="J104" s="15" t="str">
        <x:v>Non abbinato</x:v>
      </x:c>
      <x:c r="K104" s="15" t="str">
        <x:v>PERUGIA</x:v>
      </x:c>
      <x:c r="L104" s="15" t="str"/>
      <x:c r="M104" s="15" t="str">
        <x:v>ITALIA - eccetto Roma</x:v>
      </x:c>
      <x:c r="N104" s="16" t="str">
        <x:v>Nessun nodo corrispondente individuato nel catalogo attivo dell'app.</x:v>
      </x:c>
      <x:c r="O104" s="15" t="str"/>
    </x:row>
    <x:row r="105">
      <x:c r="A105" s="15" t="str"/>
      <x:c r="B105" s="15" t="str"/>
      <x:c r="C105" s="15" t="str"/>
      <x:c r="D105" s="15" t="str"/>
      <x:c r="E105" s="15" t="str">
        <x:v>Gilberto</x:v>
      </x:c>
      <x:c r="F105" s="15" t="str">
        <x:v>Grasso</x:v>
      </x:c>
      <x:c r="G105" s="15" t="str">
        <x:v>grasso.gilberto@gmail.com</x:v>
      </x:c>
      <x:c r="H105" s="15" t="str"/>
      <x:c r="I105" s="15" t="n">
        <x:v>1</x:v>
      </x:c>
      <x:c r="J105" s="15" t="str">
        <x:v>Non abbinato</x:v>
      </x:c>
      <x:c r="K105" s="15" t="str">
        <x:v>PESCARA</x:v>
      </x:c>
      <x:c r="L105" s="15" t="str"/>
      <x:c r="M105" s="15" t="str">
        <x:v>ITALIA - eccetto Roma</x:v>
      </x:c>
      <x:c r="N105" s="16" t="str">
        <x:v>Nessun nodo corrispondente individuato nel catalogo attivo dell'app.</x:v>
      </x:c>
      <x:c r="O105" s="15" t="str"/>
    </x:row>
    <x:row r="106">
      <x:c r="A106" s="15" t="str"/>
      <x:c r="B106" s="15" t="str"/>
      <x:c r="C106" s="15" t="str"/>
      <x:c r="D106" s="15" t="str"/>
      <x:c r="E106" s="15" t="str">
        <x:v>Michele</x:v>
      </x:c>
      <x:c r="F106" s="15" t="str">
        <x:v>Bartolo</x:v>
      </x:c>
      <x:c r="G106" s="15" t="str">
        <x:v>michelebartolo@gmail.com</x:v>
      </x:c>
      <x:c r="H106" s="15" t="str"/>
      <x:c r="I106" s="15" t="n">
        <x:v>1</x:v>
      </x:c>
      <x:c r="J106" s="15" t="str">
        <x:v>Non abbinato</x:v>
      </x:c>
      <x:c r="K106" s="15" t="str">
        <x:v>REGGIO CALABRIA</x:v>
      </x:c>
      <x:c r="L106" s="15" t="str"/>
      <x:c r="M106" s="15" t="str">
        <x:v>ITALIA - eccetto Roma</x:v>
      </x:c>
      <x:c r="N106" s="16" t="str">
        <x:v>Nessun nodo corrispondente individuato nel catalogo attivo dell'app.</x:v>
      </x:c>
      <x:c r="O106" s="15" t="str"/>
    </x:row>
    <x:row r="107">
      <x:c r="A107" s="15" t="str"/>
      <x:c r="B107" s="15" t="str"/>
      <x:c r="C107" s="15" t="str"/>
      <x:c r="D107" s="15" t="str"/>
      <x:c r="E107" s="15" t="str">
        <x:v>Elisabetta</x:v>
      </x:c>
      <x:c r="F107" s="15" t="str">
        <x:v>Pulinas</x:v>
      </x:c>
      <x:c r="G107" s="15" t="str">
        <x:v>epulinas@gmail.com</x:v>
      </x:c>
      <x:c r="H107" s="15" t="str"/>
      <x:c r="I107" s="15" t="n">
        <x:v>1</x:v>
      </x:c>
      <x:c r="J107" s="15" t="str">
        <x:v>Non abbinato</x:v>
      </x:c>
      <x:c r="K107" s="15" t="str">
        <x:v>SASSARI</x:v>
      </x:c>
      <x:c r="L107" s="15" t="str"/>
      <x:c r="M107" s="15" t="str">
        <x:v>ITALIA - eccetto Roma</x:v>
      </x:c>
      <x:c r="N107" s="16" t="str">
        <x:v>Nessun nodo corrispondente individuato nel catalogo attivo dell'app.</x:v>
      </x:c>
      <x:c r="O107" s="15" t="str"/>
    </x:row>
    <x:row r="108">
      <x:c r="A108" s="15" t="str"/>
      <x:c r="B108" s="15" t="str"/>
      <x:c r="C108" s="15" t="str"/>
      <x:c r="D108" s="15" t="str"/>
      <x:c r="E108" s="15" t="str">
        <x:v>Natascia</x:v>
      </x:c>
      <x:c r="F108" s="15" t="str">
        <x:v>De Rosso</x:v>
      </x:c>
      <x:c r="G108" s="15" t="str">
        <x:v>nderosso.ndr@gmail.com</x:v>
      </x:c>
      <x:c r="H108" s="15" t="str"/>
      <x:c r="I108" s="15" t="n">
        <x:v>1</x:v>
      </x:c>
      <x:c r="J108" s="15" t="str">
        <x:v>Non abbinato</x:v>
      </x:c>
      <x:c r="K108" s="15" t="str">
        <x:v>SAVONA</x:v>
      </x:c>
      <x:c r="L108" s="15" t="str"/>
      <x:c r="M108" s="15" t="str">
        <x:v>ITALIA - eccetto Roma</x:v>
      </x:c>
      <x:c r="N108" s="16" t="str">
        <x:v>Nessun nodo corrispondente individuato nel catalogo attivo dell'app.</x:v>
      </x:c>
      <x:c r="O108" s="15" t="str"/>
    </x:row>
    <x:row r="109">
      <x:c r="A109" s="15" t="str"/>
      <x:c r="B109" s="15" t="str"/>
      <x:c r="C109" s="15" t="str"/>
      <x:c r="D109" s="15" t="str"/>
      <x:c r="E109" s="15" t="str">
        <x:v>Peter</x:v>
      </x:c>
      <x:c r="F109" s="15" t="str">
        <x:v>Rusyniak</x:v>
      </x:c>
      <x:c r="G109" s="15" t="str">
        <x:v>peter.rusyniak@gmail.com</x:v>
      </x:c>
      <x:c r="H109" s="15" t="str"/>
      <x:c r="I109" s="15" t="n">
        <x:v>1</x:v>
      </x:c>
      <x:c r="J109" s="15" t="str">
        <x:v>Non abbinato</x:v>
      </x:c>
      <x:c r="K109" s="15" t="str">
        <x:v>Slovacchia</x:v>
      </x:c>
      <x:c r="L109" s="15" t="str"/>
      <x:c r="M109" s="15" t="str">
        <x:v>ALTRI paesi</x:v>
      </x:c>
      <x:c r="N109" s="16" t="str">
        <x:v>Nessun nodo corrispondente individuato nel catalogo attivo dell'app.</x:v>
      </x:c>
      <x:c r="O109" s="15" t="str"/>
    </x:row>
    <x:row r="110">
      <x:c r="A110" s="15" t="str"/>
      <x:c r="B110" s="15" t="str"/>
      <x:c r="C110" s="15" t="str"/>
      <x:c r="D110" s="15" t="str"/>
      <x:c r="E110" s="15" t="str">
        <x:v>Riccardo</x:v>
      </x:c>
      <x:c r="F110" s="15" t="str">
        <x:v>Mensuali</x:v>
      </x:c>
      <x:c r="G110" s="15" t="str">
        <x:v>rmensuali@yahoo.it</x:v>
      </x:c>
      <x:c r="H110" s="15" t="str"/>
      <x:c r="I110" s="15" t="n">
        <x:v>1</x:v>
      </x:c>
      <x:c r="J110" s="15" t="str">
        <x:v>Non abbinato</x:v>
      </x:c>
      <x:c r="K110" s="15" t="str">
        <x:v>TERNI</x:v>
      </x:c>
      <x:c r="L110" s="15" t="str"/>
      <x:c r="M110" s="15" t="str">
        <x:v>ITALIA - eccetto Roma</x:v>
      </x:c>
      <x:c r="N110" s="16" t="str">
        <x:v>Nessun nodo corrispondente individuato nel catalogo attivo dell'app.</x:v>
      </x:c>
      <x:c r="O110" s="15" t="str"/>
    </x:row>
    <x:row r="111">
      <x:c r="A111" s="15" t="str"/>
      <x:c r="B111" s="15" t="str"/>
      <x:c r="C111" s="15" t="str"/>
      <x:c r="D111" s="15" t="str"/>
      <x:c r="E111" s="15" t="str">
        <x:v>Paola</x:v>
      </x:c>
      <x:c r="F111" s="15" t="str">
        <x:v>Carcaterra</x:v>
      </x:c>
      <x:c r="G111" s="15" t="str">
        <x:v>paolacarcaterra@gmail.com</x:v>
      </x:c>
      <x:c r="H111" s="15" t="str"/>
      <x:c r="I111" s="15" t="n">
        <x:v>1</x:v>
      </x:c>
      <x:c r="J111" s="15" t="str">
        <x:v>Non abbinato</x:v>
      </x:c>
      <x:c r="K111" s="15" t="str">
        <x:v>USA</x:v>
      </x:c>
      <x:c r="L111" s="15" t="str"/>
      <x:c r="M111" s="15" t="str">
        <x:v>ALTRI paesi</x:v>
      </x:c>
      <x:c r="N111" s="16" t="str">
        <x:v>Nessun nodo corrispondente individuato nel catalogo attivo dell'app.</x:v>
      </x:c>
      <x:c r="O111" s="15" t="str"/>
    </x:row>
    <x:row r="112">
      <x:c r="A112" s="15" t="str"/>
      <x:c r="B112" s="15" t="str"/>
      <x:c r="C112" s="15" t="str"/>
      <x:c r="D112" s="15" t="str"/>
      <x:c r="E112" s="15" t="str">
        <x:v>Elena</x:v>
      </x:c>
      <x:c r="F112" s="15" t="str">
        <x:v>Rizzato</x:v>
      </x:c>
      <x:c r="G112" s="15" t="str">
        <x:v>elena.rizzato@libero.it</x:v>
      </x:c>
      <x:c r="H112" s="15" t="str"/>
      <x:c r="I112" s="15" t="n">
        <x:v>1</x:v>
      </x:c>
      <x:c r="J112" s="15" t="str">
        <x:v>Non abbinato</x:v>
      </x:c>
      <x:c r="K112" s="15" t="str">
        <x:v>VENETO trento</x:v>
      </x:c>
      <x:c r="L112" s="15" t="str"/>
      <x:c r="M112" s="15" t="str">
        <x:v>ITALIA - eccetto Roma</x:v>
      </x:c>
      <x:c r="N112" s="16" t="str">
        <x:v>Nessun nodo corrispondente individuato nel catalogo attivo dell'app.</x:v>
      </x:c>
      <x:c r="O112" s="15" t="str"/>
    </x:row>
  </x:sheetData>
  <x:mergeCells>
    <x:mergeCell ref="A1:O1"/>
    <x:mergeCell ref="A2:O2"/>
  </x:mergeCells>
  <x:conditionalFormatting sqref="J5:J112">
    <x:cfRule type="containsText" dxfId="0" priority="1" operator="containsText" text="Non abbinato"/>
    <x:cfRule type="containsText" dxfId="1" priority="2" operator="containsText" text="verificare"/>
    <x:cfRule type="containsText" dxfId="2" priority="3" operator="containsText" text="Esatto"/>
    <x:cfRule type="containsText" dxfId="3" priority="4" operator="containsText" text="Compatibile"/>
  </x:conditionalFormatting>
  <x:pageMargins left="0.7" right="0.7" top="0.75" bottom="0.75" header="0.3" footer="0.3"/>
  <x:tableParts count="1">
    <x:tablePart xmlns:r="http://schemas.openxmlformats.org/officeDocument/2006/relationships" r:id="R7ae07ab55f234bc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38" hidden="0" customWidth="1"/>
    <x:col min="4" max="4" width="12" hidden="0" customWidth="1"/>
    <x:col min="5" max="5" width="13" hidden="0" customWidth="1"/>
    <x:col min="6" max="6" width="18" hidden="0" customWidth="1"/>
    <x:col min="7" max="7" width="28" hidden="0" customWidth="1"/>
    <x:col min="8" max="8" width="14" hidden="0" customWidth="1"/>
    <x:col min="9" max="9" width="18" hidden="0" customWidth="1"/>
    <x:col min="10" max="10" width="38" hidden="0" customWidth="1"/>
  </x:cols>
  <x:sheetData>
    <x:row r="1" ht="30" customHeight="1">
      <x:c r="A1" s="5" t="str">
        <x:v>Catalogo attivo di territori e gruppi nell'app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9" t="str">
        <x:v>Evento corrente: UNARMED AND DISARMING PEACE - PACE DISARMATA E DISARMANTE. Il conteggio dei referenti è calcolato dalla lista normalizzata tramite ID gruppo.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32" customHeight="1">
      <x:c r="A4" s="13" t="str">
        <x:v>Paese</x:v>
      </x:c>
      <x:c r="B4" s="13" t="str">
        <x:v>Città</x:v>
      </x:c>
      <x:c r="C4" s="13" t="str">
        <x:v>Gruppo / area</x:v>
      </x:c>
      <x:c r="D4" s="13" t="str">
        <x:v>Tipo nodo</x:v>
      </x:c>
      <x:c r="E4" s="13" t="str">
        <x:v>Assegnabile</x:v>
      </x:c>
      <x:c r="F4" s="13" t="str">
        <x:v>Nel catalogo pubblico</x:v>
      </x:c>
      <x:c r="G4" s="13" t="str">
        <x:v>Referente indicato nel progetto</x:v>
      </x:c>
      <x:c r="H4" s="13" t="str">
        <x:v>N. referenti in lista</x:v>
      </x:c>
      <x:c r="I4" s="13" t="str">
        <x:v>Copertura</x:v>
      </x:c>
      <x:c r="J4" s="13" t="str">
        <x:v>ID gruppo app</x:v>
      </x:c>
    </x:row>
    <x:row r="5">
      <x:c r="A5" s="15" t="str">
        <x:v>Austria</x:v>
      </x:c>
      <x:c r="B5" s="15" t="str"/>
      <x:c r="C5" s="15" t="str"/>
      <x:c r="D5" s="15" t="str">
        <x:v>country</x:v>
      </x:c>
      <x:c r="E5" s="15" t="str">
        <x:v>No</x:v>
      </x:c>
      <x:c r="F5" s="15" t="str">
        <x:v>No</x:v>
      </x:c>
      <x:c r="G5" s="15" t="str"/>
      <x:c r="H5" s="17" t="n">
        <x:f>COUNTIF('Referenti normalizzati'!$O$5:$O$112,J5)</x:f>
        <x:v>1</x:v>
      </x:c>
      <x:c r="I5" s="15" t="str">
        <x:f>IF(H5=0,"Senza referente","Con referente")</x:f>
        <x:v>Con referente</x:v>
      </x:c>
      <x:c r="J5" s="15" t="str">
        <x:v>e3788d37-0b70-43fd-b517-d4aeddafd5ce</x:v>
      </x:c>
    </x:row>
    <x:row r="6">
      <x:c r="A6" s="15" t="str">
        <x:v>Belgio</x:v>
      </x:c>
      <x:c r="B6" s="15" t="str"/>
      <x:c r="C6" s="15" t="str"/>
      <x:c r="D6" s="15" t="str">
        <x:v>country</x:v>
      </x:c>
      <x:c r="E6" s="15" t="str">
        <x:v>No</x:v>
      </x:c>
      <x:c r="F6" s="15" t="str">
        <x:v>No</x:v>
      </x:c>
      <x:c r="G6" s="15" t="str"/>
      <x:c r="H6" s="17" t="n">
        <x:f>COUNTIF('Referenti normalizzati'!$O$5:$O$112,J6)</x:f>
        <x:v>1</x:v>
      </x:c>
      <x:c r="I6" s="15" t="str">
        <x:f>IF(H6=0,"Senza referente","Con referente")</x:f>
        <x:v>Con referente</x:v>
      </x:c>
      <x:c r="J6" s="15" t="str">
        <x:v>4867416a-2e3b-476b-82bf-f3a98bf5b9d9</x:v>
      </x:c>
    </x:row>
    <x:row r="7">
      <x:c r="A7" s="15" t="str">
        <x:v>Danimarca</x:v>
      </x:c>
      <x:c r="B7" s="15" t="str"/>
      <x:c r="C7" s="15" t="str"/>
      <x:c r="D7" s="15" t="str">
        <x:v>country</x:v>
      </x:c>
      <x:c r="E7" s="15" t="str">
        <x:v>No</x:v>
      </x:c>
      <x:c r="F7" s="15" t="str">
        <x:v>No</x:v>
      </x:c>
      <x:c r="G7" s="15" t="str"/>
      <x:c r="H7" s="17" t="n">
        <x:f>COUNTIF('Referenti normalizzati'!$O$5:$O$112,J7)</x:f>
        <x:v>0</x:v>
      </x:c>
      <x:c r="I7" s="15" t="str">
        <x:f>IF(H7=0,"Senza referente","Con referente")</x:f>
        <x:v>Senza referente</x:v>
      </x:c>
      <x:c r="J7" s="15" t="str">
        <x:v>0cb2d609-4551-40f9-9c14-c0215b6e687b</x:v>
      </x:c>
    </x:row>
    <x:row r="8">
      <x:c r="A8" s="15" t="str">
        <x:v>Federazione Russa</x:v>
      </x:c>
      <x:c r="B8" s="15" t="str"/>
      <x:c r="C8" s="15" t="str"/>
      <x:c r="D8" s="15" t="str">
        <x:v>country</x:v>
      </x:c>
      <x:c r="E8" s="15" t="str">
        <x:v>No</x:v>
      </x:c>
      <x:c r="F8" s="15" t="str">
        <x:v>No</x:v>
      </x:c>
      <x:c r="G8" s="15" t="str"/>
      <x:c r="H8" s="17" t="n">
        <x:f>COUNTIF('Referenti normalizzati'!$O$5:$O$112,J8)</x:f>
        <x:v>0</x:v>
      </x:c>
      <x:c r="I8" s="15" t="str">
        <x:f>IF(H8=0,"Senza referente","Con referente")</x:f>
        <x:v>Senza referente</x:v>
      </x:c>
      <x:c r="J8" s="15" t="str">
        <x:v>e83ae1c8-a02a-4832-883d-28f63c13a9cb</x:v>
      </x:c>
    </x:row>
    <x:row r="9">
      <x:c r="A9" s="15" t="str">
        <x:v>Italia</x:v>
      </x:c>
      <x:c r="B9" s="15" t="str">
        <x:v>Roma</x:v>
      </x:c>
      <x:c r="C9" s="15" t="str">
        <x:v>Roma - Giovani per la Pace</x:v>
      </x:c>
      <x:c r="D9" s="15" t="str">
        <x:v>group</x:v>
      </x:c>
      <x:c r="E9" s="15" t="str">
        <x:v>Sì</x:v>
      </x:c>
      <x:c r="F9" s="15" t="str">
        <x:v>Sì</x:v>
      </x:c>
      <x:c r="G9" s="15" t="str">
        <x:v>Nicola Mastrorilli</x:v>
      </x:c>
      <x:c r="H9" s="17" t="n">
        <x:f>COUNTIF('Referenti normalizzati'!$O$5:$O$112,J9)</x:f>
        <x:v>0</x:v>
      </x:c>
      <x:c r="I9" s="15" t="str">
        <x:f>IF(H9=0,"Senza referente","Con referente")</x:f>
        <x:v>Senza referente</x:v>
      </x:c>
      <x:c r="J9" s="15" t="str">
        <x:v>b8af090d-df2e-4c97-a992-1fbd836e0bf1</x:v>
      </x:c>
    </x:row>
    <x:row r="10">
      <x:c r="A10" s="15" t="str">
        <x:v>Francia</x:v>
      </x:c>
      <x:c r="B10" s="15" t="str"/>
      <x:c r="C10" s="15" t="str"/>
      <x:c r="D10" s="15" t="str">
        <x:v>country</x:v>
      </x:c>
      <x:c r="E10" s="15" t="str">
        <x:v>No</x:v>
      </x:c>
      <x:c r="F10" s="15" t="str">
        <x:v>No</x:v>
      </x:c>
      <x:c r="G10" s="15" t="str"/>
      <x:c r="H10" s="17" t="n">
        <x:f>COUNTIF('Referenti normalizzati'!$O$5:$O$112,J10)</x:f>
        <x:v>1</x:v>
      </x:c>
      <x:c r="I10" s="15" t="str">
        <x:f>IF(H10=0,"Senza referente","Con referente")</x:f>
        <x:v>Con referente</x:v>
      </x:c>
      <x:c r="J10" s="15" t="str">
        <x:v>c6a8d22a-3c77-4a66-88e3-a457c6a71ee1</x:v>
      </x:c>
    </x:row>
    <x:row r="11">
      <x:c r="A11" s="15" t="str">
        <x:v>Germania</x:v>
      </x:c>
      <x:c r="B11" s="15" t="str"/>
      <x:c r="C11" s="15" t="str"/>
      <x:c r="D11" s="15" t="str">
        <x:v>country</x:v>
      </x:c>
      <x:c r="E11" s="15" t="str">
        <x:v>No</x:v>
      </x:c>
      <x:c r="F11" s="15" t="str">
        <x:v>No</x:v>
      </x:c>
      <x:c r="G11" s="15" t="str"/>
      <x:c r="H11" s="17" t="n">
        <x:f>COUNTIF('Referenti normalizzati'!$O$5:$O$112,J11)</x:f>
        <x:v>1</x:v>
      </x:c>
      <x:c r="I11" s="15" t="str">
        <x:f>IF(H11=0,"Senza referente","Con referente")</x:f>
        <x:v>Con referente</x:v>
      </x:c>
      <x:c r="J11" s="15" t="str">
        <x:v>3a52f55e-3929-4f18-af23-fae9c7eba69a</x:v>
      </x:c>
    </x:row>
    <x:row r="12">
      <x:c r="A12" s="15" t="str">
        <x:v>Italia</x:v>
      </x:c>
      <x:c r="B12" s="15" t="str"/>
      <x:c r="C12" s="15" t="str"/>
      <x:c r="D12" s="15" t="str">
        <x:v>country</x:v>
      </x:c>
      <x:c r="E12" s="15" t="str">
        <x:v>No</x:v>
      </x:c>
      <x:c r="F12" s="15" t="str">
        <x:v>No</x:v>
      </x:c>
      <x:c r="G12" s="15" t="str"/>
      <x:c r="H12" s="17" t="n">
        <x:f>COUNTIF('Referenti normalizzati'!$O$5:$O$112,J12)</x:f>
        <x:v>0</x:v>
      </x:c>
      <x:c r="I12" s="15" t="str">
        <x:f>IF(H12=0,"Senza referente","Con referente")</x:f>
        <x:v>Senza referente</x:v>
      </x:c>
      <x:c r="J12" s="15" t="str">
        <x:v>a30e0c23-460f-4d81-aa7a-e23c0d8885f8</x:v>
      </x:c>
    </x:row>
    <x:row r="13">
      <x:c r="A13" s="15" t="str">
        <x:v>Polonia</x:v>
      </x:c>
      <x:c r="B13" s="15" t="str"/>
      <x:c r="C13" s="15" t="str"/>
      <x:c r="D13" s="15" t="str">
        <x:v>country</x:v>
      </x:c>
      <x:c r="E13" s="15" t="str">
        <x:v>No</x:v>
      </x:c>
      <x:c r="F13" s="15" t="str">
        <x:v>No</x:v>
      </x:c>
      <x:c r="G13" s="15" t="str"/>
      <x:c r="H13" s="17" t="n">
        <x:f>COUNTIF('Referenti normalizzati'!$O$5:$O$112,J13)</x:f>
        <x:v>1</x:v>
      </x:c>
      <x:c r="I13" s="15" t="str">
        <x:f>IF(H13=0,"Senza referente","Con referente")</x:f>
        <x:v>Con referente</x:v>
      </x:c>
      <x:c r="J13" s="15" t="str">
        <x:v>6bff2461-d252-4e6d-8054-635c6cfca841</x:v>
      </x:c>
    </x:row>
    <x:row r="14">
      <x:c r="A14" s="15" t="str">
        <x:v>Portogallo</x:v>
      </x:c>
      <x:c r="B14" s="15" t="str"/>
      <x:c r="C14" s="15" t="str"/>
      <x:c r="D14" s="15" t="str">
        <x:v>country</x:v>
      </x:c>
      <x:c r="E14" s="15" t="str">
        <x:v>No</x:v>
      </x:c>
      <x:c r="F14" s="15" t="str">
        <x:v>No</x:v>
      </x:c>
      <x:c r="G14" s="15" t="str"/>
      <x:c r="H14" s="17" t="n">
        <x:f>COUNTIF('Referenti normalizzati'!$O$5:$O$112,J14)</x:f>
        <x:v>1</x:v>
      </x:c>
      <x:c r="I14" s="15" t="str">
        <x:f>IF(H14=0,"Senza referente","Con referente")</x:f>
        <x:v>Con referente</x:v>
      </x:c>
      <x:c r="J14" s="15" t="str">
        <x:v>cffe0eae-215f-42e9-b1d7-d99ac0e8e771</x:v>
      </x:c>
    </x:row>
    <x:row r="15">
      <x:c r="A15" s="15" t="str">
        <x:v>Spagna</x:v>
      </x:c>
      <x:c r="B15" s="15" t="str"/>
      <x:c r="C15" s="15" t="str"/>
      <x:c r="D15" s="15" t="str">
        <x:v>country</x:v>
      </x:c>
      <x:c r="E15" s="15" t="str">
        <x:v>No</x:v>
      </x:c>
      <x:c r="F15" s="15" t="str">
        <x:v>No</x:v>
      </x:c>
      <x:c r="G15" s="15" t="str"/>
      <x:c r="H15" s="17" t="n">
        <x:f>COUNTIF('Referenti normalizzati'!$O$5:$O$112,J15)</x:f>
        <x:v>0</x:v>
      </x:c>
      <x:c r="I15" s="15" t="str">
        <x:f>IF(H15=0,"Senza referente","Con referente")</x:f>
        <x:v>Senza referente</x:v>
      </x:c>
      <x:c r="J15" s="15" t="str">
        <x:v>d7fe0216-b644-4a88-8004-48a9e51cabcc</x:v>
      </x:c>
    </x:row>
    <x:row r="16">
      <x:c r="A16" s="15" t="str">
        <x:v>Ucraina</x:v>
      </x:c>
      <x:c r="B16" s="15" t="str"/>
      <x:c r="C16" s="15" t="str"/>
      <x:c r="D16" s="15" t="str">
        <x:v>country</x:v>
      </x:c>
      <x:c r="E16" s="15" t="str">
        <x:v>No</x:v>
      </x:c>
      <x:c r="F16" s="15" t="str">
        <x:v>No</x:v>
      </x:c>
      <x:c r="G16" s="15" t="str"/>
      <x:c r="H16" s="17" t="n">
        <x:f>COUNTIF('Referenti normalizzati'!$O$5:$O$112,J16)</x:f>
        <x:v>0</x:v>
      </x:c>
      <x:c r="I16" s="15" t="str">
        <x:f>IF(H16=0,"Senza referente","Con referente")</x:f>
        <x:v>Senza referente</x:v>
      </x:c>
      <x:c r="J16" s="15" t="str">
        <x:v>6bdaf704-5cee-4730-8181-317a5e1cc78d</x:v>
      </x:c>
    </x:row>
    <x:row r="17">
      <x:c r="A17" s="15" t="str">
        <x:v>Ungheria</x:v>
      </x:c>
      <x:c r="B17" s="15" t="str"/>
      <x:c r="C17" s="15" t="str"/>
      <x:c r="D17" s="15" t="str">
        <x:v>country</x:v>
      </x:c>
      <x:c r="E17" s="15" t="str">
        <x:v>No</x:v>
      </x:c>
      <x:c r="F17" s="15" t="str">
        <x:v>No</x:v>
      </x:c>
      <x:c r="G17" s="15" t="str"/>
      <x:c r="H17" s="17" t="n">
        <x:f>COUNTIF('Referenti normalizzati'!$O$5:$O$112,J17)</x:f>
        <x:v>1</x:v>
      </x:c>
      <x:c r="I17" s="15" t="str">
        <x:f>IF(H17=0,"Senza referente","Con referente")</x:f>
        <x:v>Con referente</x:v>
      </x:c>
      <x:c r="J17" s="15" t="str">
        <x:v>c8fc4e58-5f4c-49f5-8485-a1739c5d706f</x:v>
      </x:c>
    </x:row>
    <x:row r="18">
      <x:c r="A18" s="15" t="str">
        <x:v>Austria</x:v>
      </x:c>
      <x:c r="B18" s="15" t="str">
        <x:v>Innsbruck</x:v>
      </x:c>
      <x:c r="C18" s="15" t="str"/>
      <x:c r="D18" s="15" t="str">
        <x:v>city</x:v>
      </x:c>
      <x:c r="E18" s="15" t="str">
        <x:v>Sì</x:v>
      </x:c>
      <x:c r="F18" s="15" t="str">
        <x:v>Sì</x:v>
      </x:c>
      <x:c r="G18" s="15" t="str"/>
      <x:c r="H18" s="17" t="n">
        <x:f>COUNTIF('Referenti normalizzati'!$O$5:$O$112,J18)</x:f>
        <x:v>0</x:v>
      </x:c>
      <x:c r="I18" s="15" t="str">
        <x:f>IF(H18=0,"Senza referente","Con referente")</x:f>
        <x:v>Senza referente</x:v>
      </x:c>
      <x:c r="J18" s="15" t="str">
        <x:v>d6ce788d-1f07-4250-8d3d-00950afc8705</x:v>
      </x:c>
    </x:row>
    <x:row r="19">
      <x:c r="A19" s="15" t="str">
        <x:v>Austria</x:v>
      </x:c>
      <x:c r="B19" s="15" t="str">
        <x:v>Vienna</x:v>
      </x:c>
      <x:c r="C19" s="15" t="str"/>
      <x:c r="D19" s="15" t="str">
        <x:v>city</x:v>
      </x:c>
      <x:c r="E19" s="15" t="str">
        <x:v>Sì</x:v>
      </x:c>
      <x:c r="F19" s="15" t="str">
        <x:v>Sì</x:v>
      </x:c>
      <x:c r="G19" s="15" t="str"/>
      <x:c r="H19" s="17" t="n">
        <x:f>COUNTIF('Referenti normalizzati'!$O$5:$O$112,J19)</x:f>
        <x:v>0</x:v>
      </x:c>
      <x:c r="I19" s="15" t="str">
        <x:f>IF(H19=0,"Senza referente","Con referente")</x:f>
        <x:v>Senza referente</x:v>
      </x:c>
      <x:c r="J19" s="15" t="str">
        <x:v>b57c570f-56d5-4cc8-8892-58d9cdd1e72c</x:v>
      </x:c>
    </x:row>
    <x:row r="20">
      <x:c r="A20" s="15" t="str">
        <x:v>Austria</x:v>
      </x:c>
      <x:c r="B20" s="15" t="str">
        <x:v>Wien</x:v>
      </x:c>
      <x:c r="C20" s="15" t="str"/>
      <x:c r="D20" s="15" t="str">
        <x:v>city</x:v>
      </x:c>
      <x:c r="E20" s="15" t="str">
        <x:v>Sì</x:v>
      </x:c>
      <x:c r="F20" s="15" t="str">
        <x:v>Sì</x:v>
      </x:c>
      <x:c r="G20" s="15" t="str"/>
      <x:c r="H20" s="17" t="n">
        <x:f>COUNTIF('Referenti normalizzati'!$O$5:$O$112,J20)</x:f>
        <x:v>0</x:v>
      </x:c>
      <x:c r="I20" s="15" t="str">
        <x:f>IF(H20=0,"Senza referente","Con referente")</x:f>
        <x:v>Senza referente</x:v>
      </x:c>
      <x:c r="J20" s="15" t="str">
        <x:v>87f9659b-5a2f-40ea-8315-ae5ea59f8b6f</x:v>
      </x:c>
    </x:row>
    <x:row r="21">
      <x:c r="A21" s="15" t="str">
        <x:v>Belgio</x:v>
      </x:c>
      <x:c r="B21" s="15" t="str">
        <x:v>Antwerpen</x:v>
      </x:c>
      <x:c r="C21" s="15" t="str"/>
      <x:c r="D21" s="15" t="str">
        <x:v>city</x:v>
      </x:c>
      <x:c r="E21" s="15" t="str">
        <x:v>Sì</x:v>
      </x:c>
      <x:c r="F21" s="15" t="str">
        <x:v>Sì</x:v>
      </x:c>
      <x:c r="G21" s="15" t="str"/>
      <x:c r="H21" s="17" t="n">
        <x:f>COUNTIF('Referenti normalizzati'!$O$5:$O$112,J21)</x:f>
        <x:v>0</x:v>
      </x:c>
      <x:c r="I21" s="15" t="str">
        <x:f>IF(H21=0,"Senza referente","Con referente")</x:f>
        <x:v>Senza referente</x:v>
      </x:c>
      <x:c r="J21" s="15" t="str">
        <x:v>2f89652d-24d1-4b4e-8806-25340a6b4274</x:v>
      </x:c>
    </x:row>
    <x:row r="22">
      <x:c r="A22" s="15" t="str">
        <x:v>Belgio</x:v>
      </x:c>
      <x:c r="B22" s="15" t="str">
        <x:v>Brussels</x:v>
      </x:c>
      <x:c r="C22" s="15" t="str"/>
      <x:c r="D22" s="15" t="str">
        <x:v>city</x:v>
      </x:c>
      <x:c r="E22" s="15" t="str">
        <x:v>Sì</x:v>
      </x:c>
      <x:c r="F22" s="15" t="str">
        <x:v>Sì</x:v>
      </x:c>
      <x:c r="G22" s="15" t="str"/>
      <x:c r="H22" s="17" t="n">
        <x:f>COUNTIF('Referenti normalizzati'!$O$5:$O$112,J22)</x:f>
        <x:v>0</x:v>
      </x:c>
      <x:c r="I22" s="15" t="str">
        <x:f>IF(H22=0,"Senza referente","Con referente")</x:f>
        <x:v>Senza referente</x:v>
      </x:c>
      <x:c r="J22" s="15" t="str">
        <x:v>66c45c36-9079-4393-8195-29ad9320646f</x:v>
      </x:c>
    </x:row>
    <x:row r="23">
      <x:c r="A23" s="15" t="str">
        <x:v>Belgio</x:v>
      </x:c>
      <x:c r="B23" s="15" t="str">
        <x:v>Alberobello</x:v>
      </x:c>
      <x:c r="C23" s="15" t="str"/>
      <x:c r="D23" s="15" t="str">
        <x:v>city</x:v>
      </x:c>
      <x:c r="E23" s="15" t="str">
        <x:v>Sì</x:v>
      </x:c>
      <x:c r="F23" s="15" t="str">
        <x:v>Sì</x:v>
      </x:c>
      <x:c r="G23" s="15" t="str">
        <x:v>Alessandro Natali</x:v>
      </x:c>
      <x:c r="H23" s="17" t="n">
        <x:f>COUNTIF('Referenti normalizzati'!$O$5:$O$112,J23)</x:f>
        <x:v>0</x:v>
      </x:c>
      <x:c r="I23" s="15" t="str">
        <x:f>IF(H23=0,"Senza referente","Con referente")</x:f>
        <x:v>Senza referente</x:v>
      </x:c>
      <x:c r="J23" s="15" t="str">
        <x:v>a2cceed7-5892-40d4-b830-5eabc46ba183</x:v>
      </x:c>
    </x:row>
    <x:row r="24">
      <x:c r="A24" s="15" t="str">
        <x:v>Danimarca</x:v>
      </x:c>
      <x:c r="B24" s="15" t="str">
        <x:v>Copenaghen</x:v>
      </x:c>
      <x:c r="C24" s="15" t="str"/>
      <x:c r="D24" s="15" t="str">
        <x:v>city</x:v>
      </x:c>
      <x:c r="E24" s="15" t="str">
        <x:v>Sì</x:v>
      </x:c>
      <x:c r="F24" s="15" t="str">
        <x:v>Sì</x:v>
      </x:c>
      <x:c r="G24" s="15" t="str"/>
      <x:c r="H24" s="17" t="n">
        <x:f>COUNTIF('Referenti normalizzati'!$O$5:$O$112,J24)</x:f>
        <x:v>0</x:v>
      </x:c>
      <x:c r="I24" s="15" t="str">
        <x:f>IF(H24=0,"Senza referente","Con referente")</x:f>
        <x:v>Senza referente</x:v>
      </x:c>
      <x:c r="J24" s="15" t="str">
        <x:v>29db3968-5e57-424f-a74d-09e8b35a0001</x:v>
      </x:c>
    </x:row>
    <x:row r="25">
      <x:c r="A25" s="15" t="str">
        <x:v>Federazione Russa</x:v>
      </x:c>
      <x:c r="B25" s="15" t="str">
        <x:v>Moscow</x:v>
      </x:c>
      <x:c r="C25" s="15" t="str"/>
      <x:c r="D25" s="15" t="str">
        <x:v>city</x:v>
      </x:c>
      <x:c r="E25" s="15" t="str">
        <x:v>Sì</x:v>
      </x:c>
      <x:c r="F25" s="15" t="str">
        <x:v>Sì</x:v>
      </x:c>
      <x:c r="G25" s="15" t="str"/>
      <x:c r="H25" s="17" t="n">
        <x:f>COUNTIF('Referenti normalizzati'!$O$5:$O$112,J25)</x:f>
        <x:v>0</x:v>
      </x:c>
      <x:c r="I25" s="15" t="str">
        <x:f>IF(H25=0,"Senza referente","Con referente")</x:f>
        <x:v>Senza referente</x:v>
      </x:c>
      <x:c r="J25" s="15" t="str">
        <x:v>e6a36bd1-c316-4a65-a56d-a1f3cc7628fa</x:v>
      </x:c>
    </x:row>
    <x:row r="26">
      <x:c r="A26" s="15" t="str">
        <x:v>Francia</x:v>
      </x:c>
      <x:c r="B26" s="15" t="str">
        <x:v>Paris</x:v>
      </x:c>
      <x:c r="C26" s="15" t="str"/>
      <x:c r="D26" s="15" t="str">
        <x:v>city</x:v>
      </x:c>
      <x:c r="E26" s="15" t="str">
        <x:v>Sì</x:v>
      </x:c>
      <x:c r="F26" s="15" t="str">
        <x:v>Sì</x:v>
      </x:c>
      <x:c r="G26" s="15" t="str"/>
      <x:c r="H26" s="17" t="n">
        <x:f>COUNTIF('Referenti normalizzati'!$O$5:$O$112,J26)</x:f>
        <x:v>0</x:v>
      </x:c>
      <x:c r="I26" s="15" t="str">
        <x:f>IF(H26=0,"Senza referente","Con referente")</x:f>
        <x:v>Senza referente</x:v>
      </x:c>
      <x:c r="J26" s="15" t="str">
        <x:v>e9dc681f-ea84-42ab-b59a-78d475fa803d</x:v>
      </x:c>
    </x:row>
    <x:row r="27">
      <x:c r="A27" s="15" t="str">
        <x:v>Germania</x:v>
      </x:c>
      <x:c r="B27" s="15" t="str">
        <x:v>Berlin</x:v>
      </x:c>
      <x:c r="C27" s="15" t="str"/>
      <x:c r="D27" s="15" t="str">
        <x:v>city</x:v>
      </x:c>
      <x:c r="E27" s="15" t="str">
        <x:v>Sì</x:v>
      </x:c>
      <x:c r="F27" s="15" t="str">
        <x:v>Sì</x:v>
      </x:c>
      <x:c r="G27" s="15" t="str"/>
      <x:c r="H27" s="17" t="n">
        <x:f>COUNTIF('Referenti normalizzati'!$O$5:$O$112,J27)</x:f>
        <x:v>0</x:v>
      </x:c>
      <x:c r="I27" s="15" t="str">
        <x:f>IF(H27=0,"Senza referente","Con referente")</x:f>
        <x:v>Senza referente</x:v>
      </x:c>
      <x:c r="J27" s="15" t="str">
        <x:v>58c03140-d3a2-462f-9254-576a982b1191</x:v>
      </x:c>
    </x:row>
    <x:row r="28">
      <x:c r="A28" s="15" t="str">
        <x:v>Germania</x:v>
      </x:c>
      <x:c r="B28" s="15" t="str">
        <x:v>Mönchengladbach</x:v>
      </x:c>
      <x:c r="C28" s="15" t="str"/>
      <x:c r="D28" s="15" t="str">
        <x:v>city</x:v>
      </x:c>
      <x:c r="E28" s="15" t="str">
        <x:v>Sì</x:v>
      </x:c>
      <x:c r="F28" s="15" t="str">
        <x:v>Sì</x:v>
      </x:c>
      <x:c r="G28" s="15" t="str"/>
      <x:c r="H28" s="17" t="n">
        <x:f>COUNTIF('Referenti normalizzati'!$O$5:$O$112,J28)</x:f>
        <x:v>0</x:v>
      </x:c>
      <x:c r="I28" s="15" t="str">
        <x:f>IF(H28=0,"Senza referente","Con referente")</x:f>
        <x:v>Senza referente</x:v>
      </x:c>
      <x:c r="J28" s="15" t="str">
        <x:v>9ebfcc82-f273-4826-a163-1ef7c6c78ce1</x:v>
      </x:c>
    </x:row>
    <x:row r="29">
      <x:c r="A29" s="15" t="str">
        <x:v>Germania</x:v>
      </x:c>
      <x:c r="B29" s="15" t="str">
        <x:v>München</x:v>
      </x:c>
      <x:c r="C29" s="15" t="str"/>
      <x:c r="D29" s="15" t="str">
        <x:v>city</x:v>
      </x:c>
      <x:c r="E29" s="15" t="str">
        <x:v>Sì</x:v>
      </x:c>
      <x:c r="F29" s="15" t="str">
        <x:v>Sì</x:v>
      </x:c>
      <x:c r="G29" s="15" t="str"/>
      <x:c r="H29" s="17" t="n">
        <x:f>COUNTIF('Referenti normalizzati'!$O$5:$O$112,J29)</x:f>
        <x:v>0</x:v>
      </x:c>
      <x:c r="I29" s="15" t="str">
        <x:f>IF(H29=0,"Senza referente","Con referente")</x:f>
        <x:v>Senza referente</x:v>
      </x:c>
      <x:c r="J29" s="15" t="str">
        <x:v>9eca7818-d765-47fa-b854-7836454a1a69</x:v>
      </x:c>
    </x:row>
    <x:row r="30">
      <x:c r="A30" s="15" t="str">
        <x:v>Germania</x:v>
      </x:c>
      <x:c r="B30" s="15" t="str">
        <x:v>Würzburg</x:v>
      </x:c>
      <x:c r="C30" s="15" t="str"/>
      <x:c r="D30" s="15" t="str">
        <x:v>city</x:v>
      </x:c>
      <x:c r="E30" s="15" t="str">
        <x:v>Sì</x:v>
      </x:c>
      <x:c r="F30" s="15" t="str">
        <x:v>Sì</x:v>
      </x:c>
      <x:c r="G30" s="15" t="str"/>
      <x:c r="H30" s="17" t="n">
        <x:f>COUNTIF('Referenti normalizzati'!$O$5:$O$112,J30)</x:f>
        <x:v>0</x:v>
      </x:c>
      <x:c r="I30" s="15" t="str">
        <x:f>IF(H30=0,"Senza referente","Con referente")</x:f>
        <x:v>Senza referente</x:v>
      </x:c>
      <x:c r="J30" s="15" t="str">
        <x:v>bda79a0e-a1a1-4d68-a499-fc706c00f72f</x:v>
      </x:c>
    </x:row>
    <x:row r="31">
      <x:c r="A31" s="15" t="str">
        <x:v>Italia</x:v>
      </x:c>
      <x:c r="B31" s="15" t="str">
        <x:v>Assisi</x:v>
      </x:c>
      <x:c r="C31" s="15" t="str"/>
      <x:c r="D31" s="15" t="str">
        <x:v>city</x:v>
      </x:c>
      <x:c r="E31" s="15" t="str">
        <x:v>Sì</x:v>
      </x:c>
      <x:c r="F31" s="15" t="str">
        <x:v>Sì</x:v>
      </x:c>
      <x:c r="G31" s="15" t="str"/>
      <x:c r="H31" s="17" t="n">
        <x:f>COUNTIF('Referenti normalizzati'!$O$5:$O$112,J31)</x:f>
        <x:v>0</x:v>
      </x:c>
      <x:c r="I31" s="15" t="str">
        <x:f>IF(H31=0,"Senza referente","Con referente")</x:f>
        <x:v>Senza referente</x:v>
      </x:c>
      <x:c r="J31" s="15" t="str">
        <x:v>262fa96a-76fc-47ae-9609-b8f9f5ad33d9</x:v>
      </x:c>
    </x:row>
    <x:row r="32">
      <x:c r="A32" s="15" t="str">
        <x:v>Italia</x:v>
      </x:c>
      <x:c r="B32" s="15" t="str">
        <x:v>Bologna</x:v>
      </x:c>
      <x:c r="C32" s="15" t="str"/>
      <x:c r="D32" s="15" t="str">
        <x:v>city</x:v>
      </x:c>
      <x:c r="E32" s="15" t="str">
        <x:v>Sì</x:v>
      </x:c>
      <x:c r="F32" s="15" t="str">
        <x:v>Sì</x:v>
      </x:c>
      <x:c r="G32" s="15" t="str"/>
      <x:c r="H32" s="17" t="n">
        <x:f>COUNTIF('Referenti normalizzati'!$O$5:$O$112,J32)</x:f>
        <x:v>1</x:v>
      </x:c>
      <x:c r="I32" s="15" t="str">
        <x:f>IF(H32=0,"Senza referente","Con referente")</x:f>
        <x:v>Con referente</x:v>
      </x:c>
      <x:c r="J32" s="15" t="str">
        <x:v>a7781b15-ccf9-4dc1-99b4-46a20b006b71</x:v>
      </x:c>
    </x:row>
    <x:row r="33">
      <x:c r="A33" s="15" t="str">
        <x:v>Italia</x:v>
      </x:c>
      <x:c r="B33" s="15" t="str">
        <x:v>Catania</x:v>
      </x:c>
      <x:c r="C33" s="15" t="str"/>
      <x:c r="D33" s="15" t="str">
        <x:v>city</x:v>
      </x:c>
      <x:c r="E33" s="15" t="str">
        <x:v>Sì</x:v>
      </x:c>
      <x:c r="F33" s="15" t="str">
        <x:v>Sì</x:v>
      </x:c>
      <x:c r="G33" s="15" t="str"/>
      <x:c r="H33" s="17" t="n">
        <x:f>COUNTIF('Referenti normalizzati'!$O$5:$O$112,J33)</x:f>
        <x:v>1</x:v>
      </x:c>
      <x:c r="I33" s="15" t="str">
        <x:f>IF(H33=0,"Senza referente","Con referente")</x:f>
        <x:v>Con referente</x:v>
      </x:c>
      <x:c r="J33" s="15" t="str">
        <x:v>31b69675-38a8-4984-8574-00deb6f2b4d7</x:v>
      </x:c>
    </x:row>
    <x:row r="34">
      <x:c r="A34" s="15" t="str">
        <x:v>Italia</x:v>
      </x:c>
      <x:c r="B34" s="15" t="str">
        <x:v>Foggia</x:v>
      </x:c>
      <x:c r="C34" s="15" t="str"/>
      <x:c r="D34" s="15" t="str">
        <x:v>city</x:v>
      </x:c>
      <x:c r="E34" s="15" t="str">
        <x:v>Sì</x:v>
      </x:c>
      <x:c r="F34" s="15" t="str">
        <x:v>Sì</x:v>
      </x:c>
      <x:c r="G34" s="15" t="str"/>
      <x:c r="H34" s="17" t="n">
        <x:f>COUNTIF('Referenti normalizzati'!$O$5:$O$112,J34)</x:f>
        <x:v>1</x:v>
      </x:c>
      <x:c r="I34" s="15" t="str">
        <x:f>IF(H34=0,"Senza referente","Con referente")</x:f>
        <x:v>Con referente</x:v>
      </x:c>
      <x:c r="J34" s="15" t="str">
        <x:v>4c5fbb46-e3e8-4ed9-9304-62939e4cfdd0</x:v>
      </x:c>
    </x:row>
    <x:row r="35">
      <x:c r="A35" s="15" t="str">
        <x:v>Italia</x:v>
      </x:c>
      <x:c r="B35" s="15" t="str">
        <x:v>Frosinone</x:v>
      </x:c>
      <x:c r="C35" s="15" t="str"/>
      <x:c r="D35" s="15" t="str">
        <x:v>city</x:v>
      </x:c>
      <x:c r="E35" s="15" t="str">
        <x:v>Sì</x:v>
      </x:c>
      <x:c r="F35" s="15" t="str">
        <x:v>Sì</x:v>
      </x:c>
      <x:c r="G35" s="15" t="str"/>
      <x:c r="H35" s="17" t="n">
        <x:f>COUNTIF('Referenti normalizzati'!$O$5:$O$112,J35)</x:f>
        <x:v>1</x:v>
      </x:c>
      <x:c r="I35" s="15" t="str">
        <x:f>IF(H35=0,"Senza referente","Con referente")</x:f>
        <x:v>Con referente</x:v>
      </x:c>
      <x:c r="J35" s="15" t="str">
        <x:v>6c58f64d-05e2-433f-bfa8-1377800b6424</x:v>
      </x:c>
    </x:row>
    <x:row r="36">
      <x:c r="A36" s="15" t="str">
        <x:v>Italia</x:v>
      </x:c>
      <x:c r="B36" s="15" t="str">
        <x:v>Lucca</x:v>
      </x:c>
      <x:c r="C36" s="15" t="str"/>
      <x:c r="D36" s="15" t="str">
        <x:v>city</x:v>
      </x:c>
      <x:c r="E36" s="15" t="str">
        <x:v>Sì</x:v>
      </x:c>
      <x:c r="F36" s="15" t="str">
        <x:v>Sì</x:v>
      </x:c>
      <x:c r="G36" s="15" t="str"/>
      <x:c r="H36" s="17" t="n">
        <x:f>COUNTIF('Referenti normalizzati'!$O$5:$O$112,J36)</x:f>
        <x:v>1</x:v>
      </x:c>
      <x:c r="I36" s="15" t="str">
        <x:f>IF(H36=0,"Senza referente","Con referente")</x:f>
        <x:v>Con referente</x:v>
      </x:c>
      <x:c r="J36" s="15" t="str">
        <x:v>aa825a79-e991-4d32-82cb-7d6cd35add34</x:v>
      </x:c>
    </x:row>
    <x:row r="37">
      <x:c r="A37" s="15" t="str">
        <x:v>Italia</x:v>
      </x:c>
      <x:c r="B37" s="15" t="str">
        <x:v>Messina</x:v>
      </x:c>
      <x:c r="C37" s="15" t="str"/>
      <x:c r="D37" s="15" t="str">
        <x:v>city</x:v>
      </x:c>
      <x:c r="E37" s="15" t="str">
        <x:v>Sì</x:v>
      </x:c>
      <x:c r="F37" s="15" t="str">
        <x:v>Sì</x:v>
      </x:c>
      <x:c r="G37" s="15" t="str"/>
      <x:c r="H37" s="17" t="n">
        <x:f>COUNTIF('Referenti normalizzati'!$O$5:$O$112,J37)</x:f>
        <x:v>1</x:v>
      </x:c>
      <x:c r="I37" s="15" t="str">
        <x:f>IF(H37=0,"Senza referente","Con referente")</x:f>
        <x:v>Con referente</x:v>
      </x:c>
      <x:c r="J37" s="15" t="str">
        <x:v>a00405b7-d4eb-4d42-8c4f-9e917f5a3c10</x:v>
      </x:c>
    </x:row>
    <x:row r="38">
      <x:c r="A38" s="15" t="str">
        <x:v>Italia</x:v>
      </x:c>
      <x:c r="B38" s="15" t="str">
        <x:v>Milano</x:v>
      </x:c>
      <x:c r="C38" s="15" t="str"/>
      <x:c r="D38" s="15" t="str">
        <x:v>city</x:v>
      </x:c>
      <x:c r="E38" s="15" t="str">
        <x:v>Sì</x:v>
      </x:c>
      <x:c r="F38" s="15" t="str">
        <x:v>Sì</x:v>
      </x:c>
      <x:c r="G38" s="15" t="str"/>
      <x:c r="H38" s="17" t="n">
        <x:f>COUNTIF('Referenti normalizzati'!$O$5:$O$112,J38)</x:f>
        <x:v>1</x:v>
      </x:c>
      <x:c r="I38" s="15" t="str">
        <x:f>IF(H38=0,"Senza referente","Con referente")</x:f>
        <x:v>Con referente</x:v>
      </x:c>
      <x:c r="J38" s="15" t="str">
        <x:v>612a6805-0ab5-4f58-b58c-26b26ed66e4c</x:v>
      </x:c>
    </x:row>
    <x:row r="39">
      <x:c r="A39" s="15" t="str">
        <x:v>Italia</x:v>
      </x:c>
      <x:c r="B39" s="15" t="str">
        <x:v>Napoli</x:v>
      </x:c>
      <x:c r="C39" s="15" t="str"/>
      <x:c r="D39" s="15" t="str">
        <x:v>city</x:v>
      </x:c>
      <x:c r="E39" s="15" t="str">
        <x:v>Sì</x:v>
      </x:c>
      <x:c r="F39" s="15" t="str">
        <x:v>Sì</x:v>
      </x:c>
      <x:c r="G39" s="15" t="str"/>
      <x:c r="H39" s="17" t="n">
        <x:f>COUNTIF('Referenti normalizzati'!$O$5:$O$112,J39)</x:f>
        <x:v>1</x:v>
      </x:c>
      <x:c r="I39" s="15" t="str">
        <x:f>IF(H39=0,"Senza referente","Con referente")</x:f>
        <x:v>Con referente</x:v>
      </x:c>
      <x:c r="J39" s="15" t="str">
        <x:v>a8a3c44d-e94b-4e08-88b4-fdc6b64d242c</x:v>
      </x:c>
    </x:row>
    <x:row r="40">
      <x:c r="A40" s="15" t="str">
        <x:v>Italia</x:v>
      </x:c>
      <x:c r="B40" s="15" t="str">
        <x:v>Novara</x:v>
      </x:c>
      <x:c r="C40" s="15" t="str"/>
      <x:c r="D40" s="15" t="str">
        <x:v>city</x:v>
      </x:c>
      <x:c r="E40" s="15" t="str">
        <x:v>Sì</x:v>
      </x:c>
      <x:c r="F40" s="15" t="str">
        <x:v>Sì</x:v>
      </x:c>
      <x:c r="G40" s="15" t="str"/>
      <x:c r="H40" s="17" t="n">
        <x:f>COUNTIF('Referenti normalizzati'!$O$5:$O$112,J40)</x:f>
        <x:v>1</x:v>
      </x:c>
      <x:c r="I40" s="15" t="str">
        <x:f>IF(H40=0,"Senza referente","Con referente")</x:f>
        <x:v>Con referente</x:v>
      </x:c>
      <x:c r="J40" s="15" t="str">
        <x:v>2165a289-2c1b-4683-83bb-7be256b6d59f</x:v>
      </x:c>
    </x:row>
    <x:row r="41">
      <x:c r="A41" s="15" t="str">
        <x:v>Italia</x:v>
      </x:c>
      <x:c r="B41" s="15" t="str">
        <x:v>Padova</x:v>
      </x:c>
      <x:c r="C41" s="15" t="str"/>
      <x:c r="D41" s="15" t="str">
        <x:v>city</x:v>
      </x:c>
      <x:c r="E41" s="15" t="str">
        <x:v>Sì</x:v>
      </x:c>
      <x:c r="F41" s="15" t="str">
        <x:v>Sì</x:v>
      </x:c>
      <x:c r="G41" s="15" t="str"/>
      <x:c r="H41" s="17" t="n">
        <x:f>COUNTIF('Referenti normalizzati'!$O$5:$O$112,J41)</x:f>
        <x:v>0</x:v>
      </x:c>
      <x:c r="I41" s="15" t="str">
        <x:f>IF(H41=0,"Senza referente","Con referente")</x:f>
        <x:v>Senza referente</x:v>
      </x:c>
      <x:c r="J41" s="15" t="str">
        <x:v>af88a000-c735-4767-9b2c-1e866d25585a</x:v>
      </x:c>
    </x:row>
    <x:row r="42">
      <x:c r="A42" s="15" t="str">
        <x:v>Italia</x:v>
      </x:c>
      <x:c r="B42" s="15" t="str">
        <x:v>Roma</x:v>
      </x:c>
      <x:c r="C42" s="15" t="str"/>
      <x:c r="D42" s="15" t="str">
        <x:v>city</x:v>
      </x:c>
      <x:c r="E42" s="15" t="str">
        <x:v>No</x:v>
      </x:c>
      <x:c r="F42" s="15" t="str">
        <x:v>No</x:v>
      </x:c>
      <x:c r="G42" s="15" t="str"/>
      <x:c r="H42" s="17" t="n">
        <x:f>COUNTIF('Referenti normalizzati'!$O$5:$O$112,J42)</x:f>
        <x:v>0</x:v>
      </x:c>
      <x:c r="I42" s="15" t="str">
        <x:f>IF(H42=0,"Senza referente","Con referente")</x:f>
        <x:v>Senza referente</x:v>
      </x:c>
      <x:c r="J42" s="15" t="str">
        <x:v>c273d432-1421-4ad4-82f5-97347438cbdc</x:v>
      </x:c>
    </x:row>
    <x:row r="43">
      <x:c r="A43" s="15" t="str">
        <x:v>Italia</x:v>
      </x:c>
      <x:c r="B43" s="15" t="str">
        <x:v>Sezze</x:v>
      </x:c>
      <x:c r="C43" s="15" t="str"/>
      <x:c r="D43" s="15" t="str">
        <x:v>city</x:v>
      </x:c>
      <x:c r="E43" s="15" t="str">
        <x:v>Sì</x:v>
      </x:c>
      <x:c r="F43" s="15" t="str">
        <x:v>Sì</x:v>
      </x:c>
      <x:c r="G43" s="15" t="str"/>
      <x:c r="H43" s="17" t="n">
        <x:f>COUNTIF('Referenti normalizzati'!$O$5:$O$112,J43)</x:f>
        <x:v>0</x:v>
      </x:c>
      <x:c r="I43" s="15" t="str">
        <x:f>IF(H43=0,"Senza referente","Con referente")</x:f>
        <x:v>Senza referente</x:v>
      </x:c>
      <x:c r="J43" s="15" t="str">
        <x:v>daf68a83-1979-43da-bb0f-b10dd3efb0ed</x:v>
      </x:c>
    </x:row>
    <x:row r="44">
      <x:c r="A44" s="15" t="str">
        <x:v>Italia</x:v>
      </x:c>
      <x:c r="B44" s="15" t="str">
        <x:v>Tivoli</x:v>
      </x:c>
      <x:c r="C44" s="15" t="str"/>
      <x:c r="D44" s="15" t="str">
        <x:v>city</x:v>
      </x:c>
      <x:c r="E44" s="15" t="str">
        <x:v>Sì</x:v>
      </x:c>
      <x:c r="F44" s="15" t="str">
        <x:v>Sì</x:v>
      </x:c>
      <x:c r="G44" s="15" t="str"/>
      <x:c r="H44" s="17" t="n">
        <x:f>COUNTIF('Referenti normalizzati'!$O$5:$O$112,J44)</x:f>
        <x:v>0</x:v>
      </x:c>
      <x:c r="I44" s="15" t="str">
        <x:f>IF(H44=0,"Senza referente","Con referente")</x:f>
        <x:v>Senza referente</x:v>
      </x:c>
      <x:c r="J44" s="15" t="str">
        <x:v>d5f81bca-3524-4b69-a7e2-832daffa1511</x:v>
      </x:c>
    </x:row>
    <x:row r="45">
      <x:c r="A45" s="15" t="str">
        <x:v>Italia</x:v>
      </x:c>
      <x:c r="B45" s="15" t="str">
        <x:v>Torino</x:v>
      </x:c>
      <x:c r="C45" s="15" t="str"/>
      <x:c r="D45" s="15" t="str">
        <x:v>city</x:v>
      </x:c>
      <x:c r="E45" s="15" t="str">
        <x:v>Sì</x:v>
      </x:c>
      <x:c r="F45" s="15" t="str">
        <x:v>Sì</x:v>
      </x:c>
      <x:c r="G45" s="15" t="str"/>
      <x:c r="H45" s="17" t="n">
        <x:f>COUNTIF('Referenti normalizzati'!$O$5:$O$112,J45)</x:f>
        <x:v>1</x:v>
      </x:c>
      <x:c r="I45" s="15" t="str">
        <x:f>IF(H45=0,"Senza referente","Con referente")</x:f>
        <x:v>Con referente</x:v>
      </x:c>
      <x:c r="J45" s="15" t="str">
        <x:v>688c3fa7-c604-46c7-90a4-d1be9274c07d</x:v>
      </x:c>
    </x:row>
    <x:row r="46">
      <x:c r="A46" s="15" t="str">
        <x:v>Italia</x:v>
      </x:c>
      <x:c r="B46" s="15" t="str">
        <x:v>Treviso</x:v>
      </x:c>
      <x:c r="C46" s="15" t="str"/>
      <x:c r="D46" s="15" t="str">
        <x:v>city</x:v>
      </x:c>
      <x:c r="E46" s="15" t="str">
        <x:v>Sì</x:v>
      </x:c>
      <x:c r="F46" s="15" t="str">
        <x:v>Sì</x:v>
      </x:c>
      <x:c r="G46" s="15" t="str"/>
      <x:c r="H46" s="17" t="n">
        <x:f>COUNTIF('Referenti normalizzati'!$O$5:$O$112,J46)</x:f>
        <x:v>0</x:v>
      </x:c>
      <x:c r="I46" s="15" t="str">
        <x:f>IF(H46=0,"Senza referente","Con referente")</x:f>
        <x:v>Senza referente</x:v>
      </x:c>
      <x:c r="J46" s="15" t="str">
        <x:v>93d62b76-22af-4518-b760-c7a47e3ba049</x:v>
      </x:c>
    </x:row>
    <x:row r="47">
      <x:c r="A47" s="15" t="str">
        <x:v>Italia</x:v>
      </x:c>
      <x:c r="B47" s="15" t="str">
        <x:v>Trieste</x:v>
      </x:c>
      <x:c r="C47" s="15" t="str"/>
      <x:c r="D47" s="15" t="str">
        <x:v>city</x:v>
      </x:c>
      <x:c r="E47" s="15" t="str">
        <x:v>Sì</x:v>
      </x:c>
      <x:c r="F47" s="15" t="str">
        <x:v>Sì</x:v>
      </x:c>
      <x:c r="G47" s="15" t="str"/>
      <x:c r="H47" s="17" t="n">
        <x:f>COUNTIF('Referenti normalizzati'!$O$5:$O$112,J47)</x:f>
        <x:v>1</x:v>
      </x:c>
      <x:c r="I47" s="15" t="str">
        <x:f>IF(H47=0,"Senza referente","Con referente")</x:f>
        <x:v>Con referente</x:v>
      </x:c>
      <x:c r="J47" s="15" t="str">
        <x:v>80ee2a68-390f-42f7-8182-b017c2f5862e</x:v>
      </x:c>
    </x:row>
    <x:row r="48">
      <x:c r="A48" s="15" t="str">
        <x:v>Polonia</x:v>
      </x:c>
      <x:c r="B48" s="15" t="str">
        <x:v>Poznań</x:v>
      </x:c>
      <x:c r="C48" s="15" t="str"/>
      <x:c r="D48" s="15" t="str">
        <x:v>city</x:v>
      </x:c>
      <x:c r="E48" s="15" t="str">
        <x:v>Sì</x:v>
      </x:c>
      <x:c r="F48" s="15" t="str">
        <x:v>Sì</x:v>
      </x:c>
      <x:c r="G48" s="15" t="str"/>
      <x:c r="H48" s="17" t="n">
        <x:f>COUNTIF('Referenti normalizzati'!$O$5:$O$112,J48)</x:f>
        <x:v>0</x:v>
      </x:c>
      <x:c r="I48" s="15" t="str">
        <x:f>IF(H48=0,"Senza referente","Con referente")</x:f>
        <x:v>Senza referente</x:v>
      </x:c>
      <x:c r="J48" s="15" t="str">
        <x:v>e77d5a77-6f8f-488a-bb63-2ac3d589a466</x:v>
      </x:c>
    </x:row>
    <x:row r="49">
      <x:c r="A49" s="15" t="str">
        <x:v>Portogallo</x:v>
      </x:c>
      <x:c r="B49" s="15" t="str">
        <x:v>Lisbona</x:v>
      </x:c>
      <x:c r="C49" s="15" t="str"/>
      <x:c r="D49" s="15" t="str">
        <x:v>city</x:v>
      </x:c>
      <x:c r="E49" s="15" t="str">
        <x:v>Sì</x:v>
      </x:c>
      <x:c r="F49" s="15" t="str">
        <x:v>Sì</x:v>
      </x:c>
      <x:c r="G49" s="15" t="str"/>
      <x:c r="H49" s="17" t="n">
        <x:f>COUNTIF('Referenti normalizzati'!$O$5:$O$112,J49)</x:f>
        <x:v>0</x:v>
      </x:c>
      <x:c r="I49" s="15" t="str">
        <x:f>IF(H49=0,"Senza referente","Con referente")</x:f>
        <x:v>Senza referente</x:v>
      </x:c>
      <x:c r="J49" s="15" t="str">
        <x:v>6a4be854-01e3-417a-83b0-83d70a593d7d</x:v>
      </x:c>
    </x:row>
    <x:row r="50">
      <x:c r="A50" s="15" t="str">
        <x:v>Portogallo</x:v>
      </x:c>
      <x:c r="B50" s="15" t="str">
        <x:v>Seixal</x:v>
      </x:c>
      <x:c r="C50" s="15" t="str"/>
      <x:c r="D50" s="15" t="str">
        <x:v>city</x:v>
      </x:c>
      <x:c r="E50" s="15" t="str">
        <x:v>Sì</x:v>
      </x:c>
      <x:c r="F50" s="15" t="str">
        <x:v>Sì</x:v>
      </x:c>
      <x:c r="G50" s="15" t="str"/>
      <x:c r="H50" s="17" t="n">
        <x:f>COUNTIF('Referenti normalizzati'!$O$5:$O$112,J50)</x:f>
        <x:v>0</x:v>
      </x:c>
      <x:c r="I50" s="15" t="str">
        <x:f>IF(H50=0,"Senza referente","Con referente")</x:f>
        <x:v>Senza referente</x:v>
      </x:c>
      <x:c r="J50" s="15" t="str">
        <x:v>e0587199-6247-400e-b332-234d9ccf35a8</x:v>
      </x:c>
    </x:row>
    <x:row r="51">
      <x:c r="A51" s="15" t="str">
        <x:v>Spagna</x:v>
      </x:c>
      <x:c r="B51" s="15" t="str">
        <x:v>Barcelona</x:v>
      </x:c>
      <x:c r="C51" s="15" t="str"/>
      <x:c r="D51" s="15" t="str">
        <x:v>city</x:v>
      </x:c>
      <x:c r="E51" s="15" t="str">
        <x:v>Sì</x:v>
      </x:c>
      <x:c r="F51" s="15" t="str">
        <x:v>Sì</x:v>
      </x:c>
      <x:c r="G51" s="15" t="str"/>
      <x:c r="H51" s="17" t="n">
        <x:f>COUNTIF('Referenti normalizzati'!$O$5:$O$112,J51)</x:f>
        <x:v>1</x:v>
      </x:c>
      <x:c r="I51" s="15" t="str">
        <x:f>IF(H51=0,"Senza referente","Con referente")</x:f>
        <x:v>Con referente</x:v>
      </x:c>
      <x:c r="J51" s="15" t="str">
        <x:v>0b4cf274-1bea-403b-a5bf-7c5a3999eea8</x:v>
      </x:c>
    </x:row>
    <x:row r="52">
      <x:c r="A52" s="15" t="str">
        <x:v>Spagna</x:v>
      </x:c>
      <x:c r="B52" s="15" t="str">
        <x:v>Madrid</x:v>
      </x:c>
      <x:c r="C52" s="15" t="str"/>
      <x:c r="D52" s="15" t="str">
        <x:v>city</x:v>
      </x:c>
      <x:c r="E52" s="15" t="str">
        <x:v>Sì</x:v>
      </x:c>
      <x:c r="F52" s="15" t="str">
        <x:v>Sì</x:v>
      </x:c>
      <x:c r="G52" s="15" t="str"/>
      <x:c r="H52" s="17" t="n">
        <x:f>COUNTIF('Referenti normalizzati'!$O$5:$O$112,J52)</x:f>
        <x:v>1</x:v>
      </x:c>
      <x:c r="I52" s="15" t="str">
        <x:f>IF(H52=0,"Senza referente","Con referente")</x:f>
        <x:v>Con referente</x:v>
      </x:c>
      <x:c r="J52" s="15" t="str">
        <x:v>70eb2b82-f306-40b9-94c8-21788b17debf</x:v>
      </x:c>
    </x:row>
    <x:row r="53">
      <x:c r="A53" s="15" t="str">
        <x:v>Spagna</x:v>
      </x:c>
      <x:c r="B53" s="15" t="str">
        <x:v>Manresa</x:v>
      </x:c>
      <x:c r="C53" s="15" t="str"/>
      <x:c r="D53" s="15" t="str">
        <x:v>city</x:v>
      </x:c>
      <x:c r="E53" s="15" t="str">
        <x:v>Sì</x:v>
      </x:c>
      <x:c r="F53" s="15" t="str">
        <x:v>Sì</x:v>
      </x:c>
      <x:c r="G53" s="15" t="str"/>
      <x:c r="H53" s="17" t="n">
        <x:f>COUNTIF('Referenti normalizzati'!$O$5:$O$112,J53)</x:f>
        <x:v>0</x:v>
      </x:c>
      <x:c r="I53" s="15" t="str">
        <x:f>IF(H53=0,"Senza referente","Con referente")</x:f>
        <x:v>Senza referente</x:v>
      </x:c>
      <x:c r="J53" s="15" t="str">
        <x:v>88ef6e22-f861-4f2a-9856-d269c4ce09ba</x:v>
      </x:c>
    </x:row>
    <x:row r="54">
      <x:c r="A54" s="15" t="str">
        <x:v>Ucraina</x:v>
      </x:c>
      <x:c r="B54" s="15" t="str">
        <x:v>Lviv</x:v>
      </x:c>
      <x:c r="C54" s="15" t="str"/>
      <x:c r="D54" s="15" t="str">
        <x:v>city</x:v>
      </x:c>
      <x:c r="E54" s="15" t="str">
        <x:v>Sì</x:v>
      </x:c>
      <x:c r="F54" s="15" t="str">
        <x:v>Sì</x:v>
      </x:c>
      <x:c r="G54" s="15" t="str"/>
      <x:c r="H54" s="17" t="n">
        <x:f>COUNTIF('Referenti normalizzati'!$O$5:$O$112,J54)</x:f>
        <x:v>0</x:v>
      </x:c>
      <x:c r="I54" s="15" t="str">
        <x:f>IF(H54=0,"Senza referente","Con referente")</x:f>
        <x:v>Senza referente</x:v>
      </x:c>
      <x:c r="J54" s="15" t="str">
        <x:v>7e4dd1ff-6873-4182-8987-15a1cf7768fc</x:v>
      </x:c>
    </x:row>
    <x:row r="55">
      <x:c r="A55" s="15" t="str">
        <x:v>Ungheria</x:v>
      </x:c>
      <x:c r="B55" s="15" t="str">
        <x:v>Budapest</x:v>
      </x:c>
      <x:c r="C55" s="15" t="str"/>
      <x:c r="D55" s="15" t="str">
        <x:v>city</x:v>
      </x:c>
      <x:c r="E55" s="15" t="str">
        <x:v>Sì</x:v>
      </x:c>
      <x:c r="F55" s="15" t="str">
        <x:v>Sì</x:v>
      </x:c>
      <x:c r="G55" s="15" t="str"/>
      <x:c r="H55" s="17" t="n">
        <x:f>COUNTIF('Referenti normalizzati'!$O$5:$O$112,J55)</x:f>
        <x:v>0</x:v>
      </x:c>
      <x:c r="I55" s="15" t="str">
        <x:f>IF(H55=0,"Senza referente","Con referente")</x:f>
        <x:v>Senza referente</x:v>
      </x:c>
      <x:c r="J55" s="15" t="str">
        <x:v>8b2ec16b-9f1c-4607-a85b-5d943f0f19bc</x:v>
      </x:c>
    </x:row>
    <x:row r="56">
      <x:c r="A56" s="15" t="str">
        <x:v>Ungheria</x:v>
      </x:c>
      <x:c r="B56" s="15" t="str">
        <x:v>Pécs</x:v>
      </x:c>
      <x:c r="C56" s="15" t="str"/>
      <x:c r="D56" s="15" t="str">
        <x:v>city</x:v>
      </x:c>
      <x:c r="E56" s="15" t="str">
        <x:v>Sì</x:v>
      </x:c>
      <x:c r="F56" s="15" t="str">
        <x:v>Sì</x:v>
      </x:c>
      <x:c r="G56" s="15" t="str"/>
      <x:c r="H56" s="17" t="n">
        <x:f>COUNTIF('Referenti normalizzati'!$O$5:$O$112,J56)</x:f>
        <x:v>0</x:v>
      </x:c>
      <x:c r="I56" s="15" t="str">
        <x:f>IF(H56=0,"Senza referente","Con referente")</x:f>
        <x:v>Senza referente</x:v>
      </x:c>
      <x:c r="J56" s="15" t="str">
        <x:v>9e6d8a51-bb0b-4b7d-abbf-231f29ad70b0</x:v>
      </x:c>
    </x:row>
    <x:row r="57">
      <x:c r="A57" s="15" t="str">
        <x:v>Ungheria</x:v>
      </x:c>
      <x:c r="B57" s="15" t="str">
        <x:v>Székesfehérvár</x:v>
      </x:c>
      <x:c r="C57" s="15" t="str"/>
      <x:c r="D57" s="15" t="str">
        <x:v>city</x:v>
      </x:c>
      <x:c r="E57" s="15" t="str">
        <x:v>Sì</x:v>
      </x:c>
      <x:c r="F57" s="15" t="str">
        <x:v>Sì</x:v>
      </x:c>
      <x:c r="G57" s="15" t="str"/>
      <x:c r="H57" s="17" t="n">
        <x:f>COUNTIF('Referenti normalizzati'!$O$5:$O$112,J57)</x:f>
        <x:v>0</x:v>
      </x:c>
      <x:c r="I57" s="15" t="str">
        <x:f>IF(H57=0,"Senza referente","Con referente")</x:f>
        <x:v>Senza referente</x:v>
      </x:c>
      <x:c r="J57" s="15" t="str">
        <x:v>54782af6-665f-4ed3-853c-6c0360e63ecd</x:v>
      </x:c>
    </x:row>
    <x:row r="58">
      <x:c r="A58" s="15" t="str">
        <x:v>Italia</x:v>
      </x:c>
      <x:c r="B58" s="15" t="str">
        <x:v>Roma</x:v>
      </x:c>
      <x:c r="C58" s="15" t="str">
        <x:v>Movimento de Gli amici</x:v>
      </x:c>
      <x:c r="D58" s="15" t="str">
        <x:v>area</x:v>
      </x:c>
      <x:c r="E58" s="15" t="str">
        <x:v>Sì</x:v>
      </x:c>
      <x:c r="F58" s="15" t="str">
        <x:v>Sì</x:v>
      </x:c>
      <x:c r="G58" s="15" t="str"/>
      <x:c r="H58" s="17" t="n">
        <x:f>COUNTIF('Referenti normalizzati'!$O$5:$O$112,J58)</x:f>
        <x:v>1</x:v>
      </x:c>
      <x:c r="I58" s="15" t="str">
        <x:f>IF(H58=0,"Senza referente","Con referente")</x:f>
        <x:v>Con referente</x:v>
      </x:c>
      <x:c r="J58" s="15" t="str">
        <x:v>bfbd0efc-50f9-47f9-aa39-042868f1716e</x:v>
      </x:c>
    </x:row>
    <x:row r="59">
      <x:c r="A59" s="15" t="str">
        <x:v>Italia</x:v>
      </x:c>
      <x:c r="B59" s="15" t="str">
        <x:v>Roma</x:v>
      </x:c>
      <x:c r="C59" s="15" t="str">
        <x:v>Monterotondo</x:v>
      </x:c>
      <x:c r="D59" s="15" t="str">
        <x:v>area</x:v>
      </x:c>
      <x:c r="E59" s="15" t="str">
        <x:v>Sì</x:v>
      </x:c>
      <x:c r="F59" s="15" t="str">
        <x:v>Sì</x:v>
      </x:c>
      <x:c r="G59" s="15" t="str"/>
      <x:c r="H59" s="17" t="n">
        <x:f>COUNTIF('Referenti normalizzati'!$O$5:$O$112,J59)</x:f>
        <x:v>1</x:v>
      </x:c>
      <x:c r="I59" s="15" t="str">
        <x:f>IF(H59=0,"Senza referente","Con referente")</x:f>
        <x:v>Con referente</x:v>
      </x:c>
      <x:c r="J59" s="15" t="str">
        <x:v>9228bd59-5e1f-4bc0-b858-297577f7d8c7</x:v>
      </x:c>
    </x:row>
    <x:row r="60">
      <x:c r="A60" s="15" t="str">
        <x:v>Italia</x:v>
      </x:c>
      <x:c r="B60" s="15" t="str">
        <x:v>Roma</x:v>
      </x:c>
      <x:c r="C60" s="15" t="str">
        <x:v>Pentecoste</x:v>
      </x:c>
      <x:c r="D60" s="15" t="str">
        <x:v>area</x:v>
      </x:c>
      <x:c r="E60" s="15" t="str">
        <x:v>Sì</x:v>
      </x:c>
      <x:c r="F60" s="15" t="str">
        <x:v>No</x:v>
      </x:c>
      <x:c r="G60" s="15" t="str"/>
      <x:c r="H60" s="17" t="n">
        <x:f>COUNTIF('Referenti normalizzati'!$O$5:$O$112,J60)</x:f>
        <x:v>5</x:v>
      </x:c>
      <x:c r="I60" s="15" t="str">
        <x:f>IF(H60=0,"Senza referente","Con referente")</x:f>
        <x:v>Con referente</x:v>
      </x:c>
      <x:c r="J60" s="15" t="str">
        <x:v>c17a4817-2241-41e3-963e-4aa22ea06ffd</x:v>
      </x:c>
    </x:row>
    <x:row r="61">
      <x:c r="A61" s="15" t="str">
        <x:v>Italia</x:v>
      </x:c>
      <x:c r="B61" s="15" t="str">
        <x:v>Roma</x:v>
      </x:c>
      <x:c r="C61" s="15" t="str">
        <x:v>Resurrezione</x:v>
      </x:c>
      <x:c r="D61" s="15" t="str">
        <x:v>area</x:v>
      </x:c>
      <x:c r="E61" s="15" t="str">
        <x:v>Sì</x:v>
      </x:c>
      <x:c r="F61" s="15" t="str">
        <x:v>No</x:v>
      </x:c>
      <x:c r="G61" s="15" t="str"/>
      <x:c r="H61" s="17" t="n">
        <x:f>COUNTIF('Referenti normalizzati'!$O$5:$O$112,J61)</x:f>
        <x:v>2</x:v>
      </x:c>
      <x:c r="I61" s="15" t="str">
        <x:f>IF(H61=0,"Senza referente","Con referente")</x:f>
        <x:v>Con referente</x:v>
      </x:c>
      <x:c r="J61" s="15" t="str">
        <x:v>d889efee-dc4c-4c25-a0fe-1e42ca20f536</x:v>
      </x:c>
    </x:row>
    <x:row r="62">
      <x:c r="A62" s="15" t="str">
        <x:v>Italia</x:v>
      </x:c>
      <x:c r="B62" s="15" t="str">
        <x:v>Roma</x:v>
      </x:c>
      <x:c r="C62" s="15" t="str">
        <x:v>Resurrezione 68</x:v>
      </x:c>
      <x:c r="D62" s="15" t="str">
        <x:v>area</x:v>
      </x:c>
      <x:c r="E62" s="15" t="str">
        <x:v>Sì</x:v>
      </x:c>
      <x:c r="F62" s="15" t="str">
        <x:v>No</x:v>
      </x:c>
      <x:c r="G62" s="15" t="str"/>
      <x:c r="H62" s="17" t="n">
        <x:f>COUNTIF('Referenti normalizzati'!$O$5:$O$112,J62)</x:f>
        <x:v>2</x:v>
      </x:c>
      <x:c r="I62" s="15" t="str">
        <x:f>IF(H62=0,"Senza referente","Con referente")</x:f>
        <x:v>Con referente</x:v>
      </x:c>
      <x:c r="J62" s="15" t="str">
        <x:v>96a1a10e-a60f-4506-b4b6-7296ec52ad44</x:v>
      </x:c>
    </x:row>
    <x:row r="63">
      <x:c r="A63" s="15" t="str">
        <x:v>Italia</x:v>
      </x:c>
      <x:c r="B63" s="15" t="str">
        <x:v>Roma</x:v>
      </x:c>
      <x:c r="C63" s="15" t="str">
        <x:v>Sant'Andrea</x:v>
      </x:c>
      <x:c r="D63" s="15" t="str">
        <x:v>area</x:v>
      </x:c>
      <x:c r="E63" s="15" t="str">
        <x:v>Sì</x:v>
      </x:c>
      <x:c r="F63" s="15" t="str">
        <x:v>No</x:v>
      </x:c>
      <x:c r="G63" s="15" t="str"/>
      <x:c r="H63" s="17" t="n">
        <x:f>COUNTIF('Referenti normalizzati'!$O$5:$O$112,J63)</x:f>
        <x:v>2</x:v>
      </x:c>
      <x:c r="I63" s="15" t="str">
        <x:f>IF(H63=0,"Senza referente","Con referente")</x:f>
        <x:v>Con referente</x:v>
      </x:c>
      <x:c r="J63" s="15" t="str">
        <x:v>050bd6d5-e037-4fe8-8fab-1927eac00af2</x:v>
      </x:c>
    </x:row>
    <x:row r="64">
      <x:c r="A64" s="15" t="str">
        <x:v>Italia</x:v>
      </x:c>
      <x:c r="B64" s="15" t="str">
        <x:v>Roma</x:v>
      </x:c>
      <x:c r="C64" s="15" t="str">
        <x:v>Sant'Egidio</x:v>
      </x:c>
      <x:c r="D64" s="15" t="str">
        <x:v>area</x:v>
      </x:c>
      <x:c r="E64" s="15" t="str">
        <x:v>Sì</x:v>
      </x:c>
      <x:c r="F64" s="15" t="str">
        <x:v>No</x:v>
      </x:c>
      <x:c r="G64" s="15" t="str"/>
      <x:c r="H64" s="17" t="n">
        <x:f>COUNTIF('Referenti normalizzati'!$O$5:$O$112,J64)</x:f>
        <x:v>2</x:v>
      </x:c>
      <x:c r="I64" s="15" t="str">
        <x:f>IF(H64=0,"Senza referente","Con referente")</x:f>
        <x:v>Con referente</x:v>
      </x:c>
      <x:c r="J64" s="15" t="str">
        <x:v>9aa9821e-a9b8-4a1a-90a4-3f8462355fd6</x:v>
      </x:c>
    </x:row>
    <x:row r="65">
      <x:c r="A65" s="15" t="str">
        <x:v>Italia</x:v>
      </x:c>
      <x:c r="B65" s="15" t="str">
        <x:v>Roma</x:v>
      </x:c>
      <x:c r="C65" s="15" t="str">
        <x:v>Seminario</x:v>
      </x:c>
      <x:c r="D65" s="15" t="str">
        <x:v>area</x:v>
      </x:c>
      <x:c r="E65" s="15" t="str">
        <x:v>Sì</x:v>
      </x:c>
      <x:c r="F65" s="15" t="str">
        <x:v>Sì</x:v>
      </x:c>
      <x:c r="G65" s="15" t="str"/>
      <x:c r="H65" s="17" t="n">
        <x:f>COUNTIF('Referenti normalizzati'!$O$5:$O$112,J65)</x:f>
        <x:v>1</x:v>
      </x:c>
      <x:c r="I65" s="15" t="str">
        <x:f>IF(H65=0,"Senza referente","Con referente")</x:f>
        <x:v>Con referente</x:v>
      </x:c>
      <x:c r="J65" s="15" t="str">
        <x:v>82dea775-f640-4757-abdc-7c86d0ec87ea</x:v>
      </x:c>
    </x:row>
    <x:row r="66">
      <x:c r="A66" s="15" t="str">
        <x:v>Italia</x:v>
      </x:c>
      <x:c r="B66" s="15" t="str">
        <x:v>Roma</x:v>
      </x:c>
      <x:c r="C66" s="15" t="str">
        <x:v>Universitari</x:v>
      </x:c>
      <x:c r="D66" s="15" t="str">
        <x:v>area</x:v>
      </x:c>
      <x:c r="E66" s="15" t="str">
        <x:v>Sì</x:v>
      </x:c>
      <x:c r="F66" s="15" t="str">
        <x:v>Sì</x:v>
      </x:c>
      <x:c r="G66" s="15" t="str">
        <x:v>Stefano Orlando</x:v>
      </x:c>
      <x:c r="H66" s="17" t="n">
        <x:f>COUNTIF('Referenti normalizzati'!$O$5:$O$112,J66)</x:f>
        <x:v>1</x:v>
      </x:c>
      <x:c r="I66" s="15" t="str">
        <x:f>IF(H66=0,"Senza referente","Con referente")</x:f>
        <x:v>Con referente</x:v>
      </x:c>
      <x:c r="J66" s="15" t="str">
        <x:v>7253d6ac-cbaf-4221-b3bc-94e627c57087</x:v>
      </x:c>
    </x:row>
    <x:row r="67">
      <x:c r="A67" s="15" t="str">
        <x:v>Italia</x:v>
      </x:c>
      <x:c r="B67" s="15" t="str">
        <x:v>Roma</x:v>
      </x:c>
      <x:c r="C67" s="15" t="str">
        <x:v>Europeans for Peace</x:v>
      </x:c>
      <x:c r="D67" s="15" t="str">
        <x:v>area</x:v>
      </x:c>
      <x:c r="E67" s="15" t="str">
        <x:v>Sì</x:v>
      </x:c>
      <x:c r="F67" s="15" t="str">
        <x:v>Sì</x:v>
      </x:c>
      <x:c r="G67" s="15" t="str"/>
      <x:c r="H67" s="17" t="n">
        <x:f>COUNTIF('Referenti normalizzati'!$O$5:$O$112,J67)</x:f>
        <x:v>0</x:v>
      </x:c>
      <x:c r="I67" s="15" t="str">
        <x:f>IF(H67=0,"Senza referente","Con referente")</x:f>
        <x:v>Senza referente</x:v>
      </x:c>
      <x:c r="J67" s="15" t="str">
        <x:v>4706d925-7f12-4aa4-b7c6-027bd0fa57f9</x:v>
      </x:c>
    </x:row>
    <x:row r="68">
      <x:c r="A68" s="15" t="str">
        <x:v>Italia</x:v>
      </x:c>
      <x:c r="B68" s="15" t="str">
        <x:v>Roma</x:v>
      </x:c>
      <x:c r="C68" s="15" t="str">
        <x:v>Giovani per la pace scuole superiori</x:v>
      </x:c>
      <x:c r="D68" s="15" t="str">
        <x:v>area</x:v>
      </x:c>
      <x:c r="E68" s="15" t="str">
        <x:v>Sì</x:v>
      </x:c>
      <x:c r="F68" s="15" t="str">
        <x:v>Sì</x:v>
      </x:c>
      <x:c r="G68" s="15" t="str">
        <x:v>Laura Guida</x:v>
      </x:c>
      <x:c r="H68" s="17" t="n">
        <x:f>COUNTIF('Referenti normalizzati'!$O$5:$O$112,J68)</x:f>
        <x:v>1</x:v>
      </x:c>
      <x:c r="I68" s="15" t="str">
        <x:f>IF(H68=0,"Senza referente","Con referente")</x:f>
        <x:v>Con referente</x:v>
      </x:c>
      <x:c r="J68" s="15" t="str">
        <x:v>a40584a7-5376-4277-9904-3cf4cf3d6b9c</x:v>
      </x:c>
    </x:row>
    <x:row r="69">
      <x:c r="A69" s="15" t="str">
        <x:v>Italia</x:v>
      </x:c>
      <x:c r="B69" s="15" t="str">
        <x:v>Roma</x:v>
      </x:c>
      <x:c r="C69" s="15" t="str">
        <x:v>Giovani per la pace scuole medie</x:v>
      </x:c>
      <x:c r="D69" s="15" t="str">
        <x:v>area</x:v>
      </x:c>
      <x:c r="E69" s="15" t="str">
        <x:v>Sì</x:v>
      </x:c>
      <x:c r="F69" s="15" t="str">
        <x:v>Sì</x:v>
      </x:c>
      <x:c r="G69" s="15" t="str">
        <x:v>Alessandro Natali</x:v>
      </x:c>
      <x:c r="H69" s="17" t="n">
        <x:f>COUNTIF('Referenti normalizzati'!$O$5:$O$112,J69)</x:f>
        <x:v>0</x:v>
      </x:c>
      <x:c r="I69" s="15" t="str">
        <x:f>IF(H69=0,"Senza referente","Con referente")</x:f>
        <x:v>Senza referente</x:v>
      </x:c>
      <x:c r="J69" s="15" t="str">
        <x:v>c3d4a10a-8935-4321-8ee7-2ffe6480e4d2</x:v>
      </x:c>
    </x:row>
    <x:row r="70">
      <x:c r="A70" s="15" t="str">
        <x:v>Italia</x:v>
      </x:c>
      <x:c r="B70" s="15" t="str">
        <x:v>Roma</x:v>
      </x:c>
      <x:c r="C70" s="15" t="str">
        <x:v>Anziani Roma Centro</x:v>
      </x:c>
      <x:c r="D70" s="15" t="str">
        <x:v>area</x:v>
      </x:c>
      <x:c r="E70" s="15" t="str">
        <x:v>Sì</x:v>
      </x:c>
      <x:c r="F70" s="15" t="str">
        <x:v>Sì</x:v>
      </x:c>
      <x:c r="G70" s="15" t="str"/>
      <x:c r="H70" s="17" t="n">
        <x:f>COUNTIF('Referenti normalizzati'!$O$5:$O$112,J70)</x:f>
        <x:v>5</x:v>
      </x:c>
      <x:c r="I70" s="15" t="str">
        <x:f>IF(H70=0,"Senza referente","Con referente")</x:f>
        <x:v>Con referente</x:v>
      </x:c>
      <x:c r="J70" s="15" t="str">
        <x:v>6d9a64b9-224c-4ae4-928c-9479718a0903</x:v>
      </x:c>
    </x:row>
    <x:row r="71">
      <x:c r="A71" s="15" t="str">
        <x:v>Italia</x:v>
      </x:c>
      <x:c r="B71" s="15" t="str">
        <x:v>Roma</x:v>
      </x:c>
      <x:c r="C71" s="15" t="str">
        <x:v>Anziani Roma Est</x:v>
      </x:c>
      <x:c r="D71" s="15" t="str">
        <x:v>area</x:v>
      </x:c>
      <x:c r="E71" s="15" t="str">
        <x:v>Sì</x:v>
      </x:c>
      <x:c r="F71" s="15" t="str">
        <x:v>Sì</x:v>
      </x:c>
      <x:c r="G71" s="15" t="str"/>
      <x:c r="H71" s="17" t="n">
        <x:f>COUNTIF('Referenti normalizzati'!$O$5:$O$112,J71)</x:f>
        <x:v>4</x:v>
      </x:c>
      <x:c r="I71" s="15" t="str">
        <x:f>IF(H71=0,"Senza referente","Con referente")</x:f>
        <x:v>Con referente</x:v>
      </x:c>
      <x:c r="J71" s="15" t="str">
        <x:v>a0704d5f-cc54-4f99-8b13-2aa341e66466</x:v>
      </x:c>
    </x:row>
    <x:row r="72">
      <x:c r="A72" s="15" t="str">
        <x:v>Italia</x:v>
      </x:c>
      <x:c r="B72" s="15" t="str">
        <x:v>Roma</x:v>
      </x:c>
      <x:c r="C72" s="15" t="str">
        <x:v>Anziani Roma Nord</x:v>
      </x:c>
      <x:c r="D72" s="15" t="str">
        <x:v>area</x:v>
      </x:c>
      <x:c r="E72" s="15" t="str">
        <x:v>Sì</x:v>
      </x:c>
      <x:c r="F72" s="15" t="str">
        <x:v>Sì</x:v>
      </x:c>
      <x:c r="G72" s="15" t="str"/>
      <x:c r="H72" s="17" t="n">
        <x:f>COUNTIF('Referenti normalizzati'!$O$5:$O$112,J72)</x:f>
        <x:v>2</x:v>
      </x:c>
      <x:c r="I72" s="15" t="str">
        <x:f>IF(H72=0,"Senza referente","Con referente")</x:f>
        <x:v>Con referente</x:v>
      </x:c>
      <x:c r="J72" s="15" t="str">
        <x:v>696d2c09-ae6b-429c-abe9-7f0d3d949012</x:v>
      </x:c>
    </x:row>
    <x:row r="73">
      <x:c r="A73" s="15" t="str">
        <x:v>Italia</x:v>
      </x:c>
      <x:c r="B73" s="15" t="str">
        <x:v>Roma</x:v>
      </x:c>
      <x:c r="C73" s="15" t="str">
        <x:v>Anziani Roma Sud</x:v>
      </x:c>
      <x:c r="D73" s="15" t="str">
        <x:v>area</x:v>
      </x:c>
      <x:c r="E73" s="15" t="str">
        <x:v>Sì</x:v>
      </x:c>
      <x:c r="F73" s="15" t="str">
        <x:v>Sì</x:v>
      </x:c>
      <x:c r="G73" s="15" t="str"/>
      <x:c r="H73" s="17" t="n">
        <x:f>COUNTIF('Referenti normalizzati'!$O$5:$O$112,J73)</x:f>
        <x:v>4</x:v>
      </x:c>
      <x:c r="I73" s="15" t="str">
        <x:f>IF(H73=0,"Senza referente","Con referente")</x:f>
        <x:v>Con referente</x:v>
      </x:c>
      <x:c r="J73" s="15" t="str">
        <x:v>9487e092-c771-4b03-8419-d20ab4370ece</x:v>
      </x:c>
    </x:row>
    <x:row r="74">
      <x:c r="A74" s="15" t="str">
        <x:v>Italia</x:v>
      </x:c>
      <x:c r="B74" s="15" t="str">
        <x:v>Roma</x:v>
      </x:c>
      <x:c r="C74" s="15" t="str">
        <x:v>Anziani Roma Sud-Litorale</x:v>
      </x:c>
      <x:c r="D74" s="15" t="str">
        <x:v>area</x:v>
      </x:c>
      <x:c r="E74" s="15" t="str">
        <x:v>Sì</x:v>
      </x:c>
      <x:c r="F74" s="15" t="str">
        <x:v>Sì</x:v>
      </x:c>
      <x:c r="G74" s="15" t="str"/>
      <x:c r="H74" s="17" t="n">
        <x:f>COUNTIF('Referenti normalizzati'!$O$5:$O$112,J74)</x:f>
        <x:v>3</x:v>
      </x:c>
      <x:c r="I74" s="15" t="str">
        <x:f>IF(H74=0,"Senza referente","Con referente")</x:f>
        <x:v>Con referente</x:v>
      </x:c>
      <x:c r="J74" s="15" t="str">
        <x:v>0bd1d142-a131-472e-82fd-55ee481f423e</x:v>
      </x:c>
    </x:row>
    <x:row r="75">
      <x:c r="A75" s="15" t="str">
        <x:v>Italia</x:v>
      </x:c>
      <x:c r="B75" s="15" t="str">
        <x:v>Roma</x:v>
      </x:c>
      <x:c r="C75" s="15" t="str">
        <x:v>Castelli Romani</x:v>
      </x:c>
      <x:c r="D75" s="15" t="str">
        <x:v>area</x:v>
      </x:c>
      <x:c r="E75" s="15" t="str">
        <x:v>Sì</x:v>
      </x:c>
      <x:c r="F75" s="15" t="str">
        <x:v>Sì</x:v>
      </x:c>
      <x:c r="G75" s="15" t="str"/>
      <x:c r="H75" s="17" t="n">
        <x:f>COUNTIF('Referenti normalizzati'!$O$5:$O$112,J75)</x:f>
        <x:v>1</x:v>
      </x:c>
      <x:c r="I75" s="15" t="str">
        <x:f>IF(H75=0,"Senza referente","Con referente")</x:f>
        <x:v>Con referente</x:v>
      </x:c>
      <x:c r="J75" s="15" t="str">
        <x:v>1cb5f667-0b4a-40b3-af0f-8625c1092f70</x:v>
      </x:c>
    </x:row>
    <x:row r="76">
      <x:c r="A76" s="15" t="str">
        <x:v>Italia</x:v>
      </x:c>
      <x:c r="B76" s="15" t="str">
        <x:v>Roma</x:v>
      </x:c>
      <x:c r="C76" s="15" t="str">
        <x:v>Roma CENTRO/MONTEVERDE/OVEST</x:v>
      </x:c>
      <x:c r="D76" s="15" t="str">
        <x:v>area</x:v>
      </x:c>
      <x:c r="E76" s="15" t="str">
        <x:v>Sì</x:v>
      </x:c>
      <x:c r="F76" s="15" t="str">
        <x:v>Sì</x:v>
      </x:c>
      <x:c r="G76" s="15" t="str"/>
      <x:c r="H76" s="17" t="n">
        <x:f>COUNTIF('Referenti normalizzati'!$O$5:$O$112,J76)</x:f>
        <x:v>5</x:v>
      </x:c>
      <x:c r="I76" s="15" t="str">
        <x:f>IF(H76=0,"Senza referente","Con referente")</x:f>
        <x:v>Con referente</x:v>
      </x:c>
      <x:c r="J76" s="15" t="str">
        <x:v>137442c5-060a-49d0-9750-80d5ce277d68</x:v>
      </x:c>
    </x:row>
    <x:row r="77">
      <x:c r="A77" s="15" t="str">
        <x:v>Italia</x:v>
      </x:c>
      <x:c r="B77" s="15" t="str">
        <x:v>Roma</x:v>
      </x:c>
      <x:c r="C77" s="15" t="str">
        <x:v>Roma Est</x:v>
      </x:c>
      <x:c r="D77" s="15" t="str">
        <x:v>area</x:v>
      </x:c>
      <x:c r="E77" s="15" t="str">
        <x:v>Sì</x:v>
      </x:c>
      <x:c r="F77" s="15" t="str">
        <x:v>Sì</x:v>
      </x:c>
      <x:c r="G77" s="15" t="str"/>
      <x:c r="H77" s="17" t="n">
        <x:f>COUNTIF('Referenti normalizzati'!$O$5:$O$112,J77)</x:f>
        <x:v>6</x:v>
      </x:c>
      <x:c r="I77" s="15" t="str">
        <x:f>IF(H77=0,"Senza referente","Con referente")</x:f>
        <x:v>Con referente</x:v>
      </x:c>
      <x:c r="J77" s="15" t="str">
        <x:v>03a10052-4184-427b-9c9a-4d2cdb6915c5</x:v>
      </x:c>
    </x:row>
    <x:row r="78">
      <x:c r="A78" s="15" t="str">
        <x:v>Italia</x:v>
      </x:c>
      <x:c r="B78" s="15" t="str">
        <x:v>Roma</x:v>
      </x:c>
      <x:c r="C78" s="15" t="str">
        <x:v>Roma Nord</x:v>
      </x:c>
      <x:c r="D78" s="15" t="str">
        <x:v>area</x:v>
      </x:c>
      <x:c r="E78" s="15" t="str">
        <x:v>Sì</x:v>
      </x:c>
      <x:c r="F78" s="15" t="str">
        <x:v>Sì</x:v>
      </x:c>
      <x:c r="G78" s="15" t="str"/>
      <x:c r="H78" s="17" t="n">
        <x:f>COUNTIF('Referenti normalizzati'!$O$5:$O$112,J78)</x:f>
        <x:v>4</x:v>
      </x:c>
      <x:c r="I78" s="15" t="str">
        <x:f>IF(H78=0,"Senza referente","Con referente")</x:f>
        <x:v>Con referente</x:v>
      </x:c>
      <x:c r="J78" s="15" t="str">
        <x:v>25adea97-3fac-4d6a-acfc-decde0a02151</x:v>
      </x:c>
    </x:row>
    <x:row r="79">
      <x:c r="A79" s="15" t="str">
        <x:v>Italia</x:v>
      </x:c>
      <x:c r="B79" s="15" t="str">
        <x:v>Roma</x:v>
      </x:c>
      <x:c r="C79" s="15" t="str">
        <x:v>Roma Sud</x:v>
      </x:c>
      <x:c r="D79" s="15" t="str">
        <x:v>area</x:v>
      </x:c>
      <x:c r="E79" s="15" t="str">
        <x:v>Sì</x:v>
      </x:c>
      <x:c r="F79" s="15" t="str">
        <x:v>Sì</x:v>
      </x:c>
      <x:c r="G79" s="15" t="str"/>
      <x:c r="H79" s="17" t="n">
        <x:f>COUNTIF('Referenti normalizzati'!$O$5:$O$112,J79)</x:f>
        <x:v>4</x:v>
      </x:c>
      <x:c r="I79" s="15" t="str">
        <x:f>IF(H79=0,"Senza referente","Con referente")</x:f>
        <x:v>Con referente</x:v>
      </x:c>
      <x:c r="J79" s="15" t="str">
        <x:v>9b6eac94-3584-4250-a564-abf8ce4d5a5e</x:v>
      </x:c>
    </x:row>
    <x:row r="80">
      <x:c r="A80" s="15" t="str">
        <x:v>Italia</x:v>
      </x:c>
      <x:c r="B80" s="15" t="str">
        <x:v>Roma</x:v>
      </x:c>
      <x:c r="C80" s="15" t="str">
        <x:v>Roma Sud-Litorale</x:v>
      </x:c>
      <x:c r="D80" s="15" t="str">
        <x:v>area</x:v>
      </x:c>
      <x:c r="E80" s="15" t="str">
        <x:v>Sì</x:v>
      </x:c>
      <x:c r="F80" s="15" t="str">
        <x:v>Sì</x:v>
      </x:c>
      <x:c r="G80" s="15" t="str"/>
      <x:c r="H80" s="17" t="n">
        <x:f>COUNTIF('Referenti normalizzati'!$O$5:$O$112,J80)</x:f>
        <x:v>3</x:v>
      </x:c>
      <x:c r="I80" s="15" t="str">
        <x:f>IF(H80=0,"Senza referente","Con referente")</x:f>
        <x:v>Con referente</x:v>
      </x:c>
      <x:c r="J80" s="15" t="str">
        <x:v>5466a8bd-360a-437a-9b00-9070f61899ac</x:v>
      </x:c>
    </x:row>
    <x:row r="81">
      <x:c r="A81" s="15" t="str">
        <x:v>Italia</x:v>
      </x:c>
      <x:c r="B81" s="15" t="str">
        <x:v>Roma</x:v>
      </x:c>
      <x:c r="C81" s="15" t="str">
        <x:v>Assemblea di Trastevere</x:v>
      </x:c>
      <x:c r="D81" s="15" t="str">
        <x:v>area</x:v>
      </x:c>
      <x:c r="E81" s="15" t="str">
        <x:v>Sì</x:v>
      </x:c>
      <x:c r="F81" s="15" t="str">
        <x:v>Sì</x:v>
      </x:c>
      <x:c r="G81" s="15" t="str"/>
      <x:c r="H81" s="17" t="n">
        <x:f>COUNTIF('Referenti normalizzati'!$O$5:$O$112,J81)</x:f>
        <x:v>2</x:v>
      </x:c>
      <x:c r="I81" s="15" t="str">
        <x:f>IF(H81=0,"Senza referente","Con referente")</x:f>
        <x:v>Con referente</x:v>
      </x:c>
      <x:c r="J81" s="15" t="str">
        <x:v>87955386-cbd2-470c-bbde-3f4987012c49</x:v>
      </x:c>
    </x:row>
    <x:row r="82">
      <x:c r="A82" s="15" t="str">
        <x:v>Italia</x:v>
      </x:c>
      <x:c r="B82" s="15" t="str">
        <x:v>Roma</x:v>
      </x:c>
      <x:c r="C82" s="15" t="str">
        <x:v>Corridoi Umanitari</x:v>
      </x:c>
      <x:c r="D82" s="15" t="str">
        <x:v>area</x:v>
      </x:c>
      <x:c r="E82" s="15" t="str">
        <x:v>Sì</x:v>
      </x:c>
      <x:c r="F82" s="15" t="str">
        <x:v>Sì</x:v>
      </x:c>
      <x:c r="G82" s="15" t="str"/>
      <x:c r="H82" s="17" t="n">
        <x:f>COUNTIF('Referenti normalizzati'!$O$5:$O$112,J82)</x:f>
        <x:v>0</x:v>
      </x:c>
      <x:c r="I82" s="15" t="str">
        <x:f>IF(H82=0,"Senza referente","Con referente")</x:f>
        <x:v>Senza referente</x:v>
      </x:c>
      <x:c r="J82" s="15" t="str">
        <x:v>84677f5c-3687-4c03-bed2-2696e5bbdeec</x:v>
      </x:c>
    </x:row>
    <x:row r="83">
      <x:c r="A83" s="15" t="str">
        <x:v>Italia</x:v>
      </x:c>
      <x:c r="B83" s="15" t="str">
        <x:v>Roma</x:v>
      </x:c>
      <x:c r="C83" s="15" t="str">
        <x:v>Genti di Pace - Scuola</x:v>
      </x:c>
      <x:c r="D83" s="15" t="str">
        <x:v>area</x:v>
      </x:c>
      <x:c r="E83" s="15" t="str">
        <x:v>Sì</x:v>
      </x:c>
      <x:c r="F83" s="15" t="str">
        <x:v>Sì</x:v>
      </x:c>
      <x:c r="G83" s="15" t="str"/>
      <x:c r="H83" s="17" t="n">
        <x:f>COUNTIF('Referenti normalizzati'!$O$5:$O$112,J83)</x:f>
        <x:v>1</x:v>
      </x:c>
      <x:c r="I83" s="15" t="str">
        <x:f>IF(H83=0,"Senza referente","Con referente")</x:f>
        <x:v>Con referente</x:v>
      </x:c>
      <x:c r="J83" s="15" t="str">
        <x:v>31caa100-abd4-4a09-bd08-5e3553c63c20</x:v>
      </x:c>
    </x:row>
  </x:sheetData>
  <x:mergeCells>
    <x:mergeCell ref="A1:J1"/>
    <x:mergeCell ref="A2:J2"/>
  </x:mergeCells>
  <x:conditionalFormatting sqref="I5:I83">
    <x:cfRule type="containsText" dxfId="4" priority="1" operator="containsText" text="Senza referente"/>
    <x:cfRule type="containsText" dxfId="5" priority="2" operator="containsText" text="Con referente"/>
  </x:conditionalFormatting>
  <x:pageMargins left="0.7" right="0.7" top="0.75" bottom="0.75" header="0.3" footer="0.3"/>
  <x:tableParts count="1">
    <x:tablePart xmlns:r="http://schemas.openxmlformats.org/officeDocument/2006/relationships" r:id="Rafdfb577c79b4320"/>
  </x:tableParts>
</x:worksheet>
</file>